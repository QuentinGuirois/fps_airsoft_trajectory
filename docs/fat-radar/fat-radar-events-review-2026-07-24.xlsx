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2727b41ad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À lire" sheetId="1" r:id="R3bac56ff431f445c"/>
    <x:sheet xmlns:r="http://schemas.openxmlformats.org/officeDocument/2006/relationships" name="Événements" sheetId="2" r:id="R46427e4aaf964dea"/>
    <x:sheet xmlns:r="http://schemas.openxmlformats.org/officeDocument/2006/relationships" name="Contrôles" sheetId="3" r:id="Re741522f87a5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 &quot;€&quot;"/>
    <x:numFmt numFmtId="203" formatCode="#,##0"/>
  </x:numFmts>
  <x:fonts count="10">
    <x:font>
      <x:sz val="11"/>
      <x:name val="Carlito"/>
    </x:font>
    <x:font>
      <x:b/>
      <x:sz val="16"/>
      <x:color rgb="FFC5FF2E"/>
      <x:name val="Carlito"/>
    </x:font>
    <x:font>
      <x:i/>
      <x:sz val="11"/>
      <x:color rgb="FF6B4D00"/>
      <x:name val="Carlito"/>
    </x:font>
    <x:font>
      <x:b/>
      <x:sz val="11"/>
      <x:color rgb="FFF0F0E8"/>
      <x:name val="Carlito"/>
    </x:font>
    <x:font>
      <x:b/>
      <x:sz val="14"/>
      <x:color rgb="FF0C1008"/>
      <x:name val="Carlito"/>
    </x:font>
    <x:font>
      <x:b/>
      <x:sz val="11"/>
      <x:color rgb="FFC5FF2E"/>
      <x:name val="Carlito"/>
    </x:font>
    <x:font>
      <x:b/>
      <x:sz val="11"/>
      <x:color rgb="FF0C1008"/>
      <x:name val="Carlito"/>
    </x:font>
    <x:font>
      <x:i/>
      <x:sz val="11"/>
      <x:color rgb="FFF0F0E8"/>
      <x:name val="Carlito"/>
    </x:font>
    <x:font>
      <x:b/>
      <x:sz val="15"/>
      <x:color rgb="FFC5FF2E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C1008"/>
      </x:patternFill>
    </x:fill>
    <x:fill>
      <x:patternFill patternType="solid">
        <x:fgColor rgb="FFFFF0C2"/>
      </x:patternFill>
    </x:fill>
    <x:fill>
      <x:patternFill patternType="solid">
        <x:fgColor rgb="FF2A3322"/>
      </x:patternFill>
    </x:fill>
    <x:fill>
      <x:patternFill patternType="solid">
        <x:fgColor rgb="FFEFFFD0"/>
      </x:patternFill>
    </x:fill>
    <x:fill>
      <x:patternFill patternType="solid">
        <x:fgColor rgb="FFF6F7F3"/>
      </x:patternFill>
    </x:fill>
  </x:fills>
  <x:borders count="11">
    <x:border/>
    <x:border>
      <x:left style="thin">
        <x:color rgb="FF2A3322"/>
      </x:left>
      <x:top style="thin">
        <x:color rgb="FF2A3322"/>
      </x:top>
    </x:border>
    <x:border>
      <x:top style="thin">
        <x:color rgb="FF2A3322"/>
      </x:top>
    </x:border>
    <x:border>
      <x:right style="thin">
        <x:color rgb="FF2A3322"/>
      </x:right>
      <x:top style="thin">
        <x:color rgb="FF2A3322"/>
      </x:top>
    </x:border>
    <x:border>
      <x:left style="thin">
        <x:color rgb="FF2A3322"/>
      </x:left>
      <x:bottom style="thin">
        <x:color rgb="FF2A3322"/>
      </x:bottom>
    </x:border>
    <x:border>
      <x:bottom style="thin">
        <x:color rgb="FF2A3322"/>
      </x:bottom>
    </x:border>
    <x:border>
      <x:right style="thin">
        <x:color rgb="FF2A3322"/>
      </x:right>
      <x:bottom style="thin">
        <x:color rgb="FF2A3322"/>
      </x:bottom>
    </x:border>
    <x:border>
      <x:left style="thin">
        <x:color rgb="FFD6DBD0"/>
      </x:left>
      <x:right style="thin">
        <x:color rgb="FFD6DBD0"/>
      </x:right>
      <x:top style="thin">
        <x:color rgb="FFD6DBD0"/>
      </x:top>
      <x:bottom style="thin">
        <x:color rgb="FFD6DBD0"/>
      </x:bottom>
    </x:border>
    <x:border>
      <x:bottom style="thin">
        <x:color rgb="FFE3E7DD"/>
      </x:bottom>
    </x:border>
    <x:border>
      <x:top style="thin">
        <x:color rgb="FFE3E7DD"/>
      </x:top>
      <x:bottom style="thin">
        <x:color rgb="FFE3E7DD"/>
      </x:bottom>
    </x:border>
    <x:border>
      <x:top style="thin">
        <x:color rgb="FFE3E7DD"/>
      </x:top>
      <x:bottom style="thin">
        <x:color rgb="FFD6DBD0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/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/>
    <x:xf numFmtId="0" fontId="0" fillId="0" borderId="7" xfId="0" applyNumberFormat="1" applyFont="1" applyFill="1" applyBorder="1"/>
    <x:xf numFmtId="0" fontId="0" fillId="6" borderId="7" xfId="0" applyNumberFormat="1" applyFont="1" applyFill="1" applyBorder="1"/>
    <x:xf numFmtId="0" fontId="6" fillId="6" borderId="7" xfId="0" applyNumberFormat="1" applyFont="1" applyFill="1" applyBorder="1"/>
    <x:xf numFmtId="0" fontId="6" fillId="6" borderId="7" xfId="0" applyNumberFormat="1" applyFont="1" applyFill="1" applyBorder="1" applyAlignment="1">
      <x:alignment vertical="top"/>
    </x:xf>
    <x:xf numFmtId="0" fontId="0" fillId="5" borderId="7" xfId="0" applyNumberFormat="1" applyFont="1" applyFill="1" applyBorder="1"/>
    <x:xf numFmtId="0" fontId="6" fillId="5" borderId="7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C1008"/>
      </x:font>
      <x:fill>
        <x:patternFill patternType="solid">
          <x:bgColor rgb="FFEFFFD0"/>
        </x:patternFill>
      </x:fill>
    </x:dxf>
    <x:dxf>
      <x:font>
        <x:color rgb="FF6B4D00"/>
      </x:font>
      <x:fill>
        <x:patternFill patternType="solid">
          <x:bgColor rgb="FFFFF0C2"/>
        </x:patternFill>
      </x:fill>
    </x:dxf>
    <x:dxf>
      <x:font>
        <x:b/>
        <x:color rgb="FF8A2730"/>
      </x:font>
      <x:fill>
        <x:patternFill patternType="solid">
          <x:bgColor rgb="FFFFE4E6"/>
        </x:patternFill>
      </x:fill>
    </x:dxf>
    <x:dxf>
      <x:font>
        <x:color rgb="FF6B4D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b2651421f4d36" /><Relationship Type="http://schemas.openxmlformats.org/officeDocument/2006/relationships/theme" Target="/xl/theme/theme1.xml" Id="R6dd22fe5f45f4be8" /><Relationship Type="http://schemas.openxmlformats.org/officeDocument/2006/relationships/sharedStrings" Target="/xl/sharedStrings.xml" Id="R386355a90214413c" /><Relationship Type="http://schemas.openxmlformats.org/officeDocument/2006/relationships/worksheet" Target="/xl/worksheets/sheet1.xml" Id="R3bac56ff431f445c" /><Relationship Type="http://schemas.openxmlformats.org/officeDocument/2006/relationships/worksheet" Target="/xl/worksheets/sheet2.xml" Id="R46427e4aaf964dea" /><Relationship Type="http://schemas.openxmlformats.org/officeDocument/2006/relationships/worksheet" Target="/xl/worksheets/sheet3.xml" Id="Re741522f87a54bee" /></Relationships>
</file>

<file path=xl/tables/table1.xml><?xml version="1.0" encoding="utf-8"?>
<x:table xmlns:x="http://schemas.openxmlformats.org/spreadsheetml/2006/main" id="1" name="RadarEventsTable" displayName="RadarEventsTable" ref="A3:Y49" headerRowCount="1" totalsRowCount="0" totalsRowShown="0">
  <x:tableColumns count="25">
    <x:tableColumn id="1" name="Clé externe"/>
    <x:tableColumn id="2" name="Titre"/>
    <x:tableColumn id="3" name="Organisateur"/>
    <x:tableColumn id="4" name="Type organisateur"/>
    <x:tableColumn id="5" name="Niveau source"/>
    <x:tableColumn id="6" name="Début"/>
    <x:tableColumn id="7" name="Fin"/>
    <x:tableColumn id="8" name="Type de partie"/>
    <x:tableColumn id="9" name="Terrain"/>
    <x:tableColumn id="10" name="Libellé du lieu"/>
    <x:tableColumn id="11" name="Adresse"/>
    <x:tableColumn id="12" name="Code postal"/>
    <x:tableColumn id="13" name="Ville"/>
    <x:tableColumn id="14" name="Département"/>
    <x:tableColumn id="15" name="Précision carte"/>
    <x:tableColumn id="16" name="Requête IGN"/>
    <x:tableColumn id="17" name="Prix min (€)"/>
    <x:tableColumn id="18" name="Prix max (€)"/>
    <x:tableColumn id="19" name="Capacité"/>
    <x:tableColumn id="20" name="Règles / notes"/>
    <x:tableColumn id="21" name="URL source"/>
    <x:tableColumn id="22" name="URL inscription"/>
    <x:tableColumn id="23" name="Contrôle avant publication"/>
    <x:tableColumn id="24" name="État d’import"/>
    <x:tableColumn id="25" name="Commentaire ad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f0068d7ada45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2" customHeight="1">
      <x:c r="A1" s="3" t="str">
        <x:v>F.A.T. // RADAR — lot de relecture avant import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7" t="str">
        <x:v>46 fiches capturées le 24 juillet 2026. Elles sont toutes destinées à une prévisualisation administrateur : aucune ne doit être publiée automatiquement.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14" t="str">
        <x:v>Fiches</x:v>
      </x:c>
      <x:c r="B4" s="15" t="str">
        <x:v>Sources primaires</x:v>
      </x:c>
      <x:c r="C4" s="15" t="str">
        <x:v>Sources secondaires</x:v>
      </x:c>
      <x:c r="D4" s="16" t="str">
        <x:v>Pins ville approximatifs</x:v>
      </x:c>
    </x:row>
    <x:row r="5" ht="24" customHeight="1">
      <x:c r="A5" s="17" t="n">
        <x:f>COUNTA('Événements'!$A$4:$A$49)</x:f>
        <x:v>46</x:v>
      </x:c>
      <x:c r="B5" s="18" t="n">
        <x:f>COUNTIF('Événements'!$E$4:$E$49,"primary")</x:f>
        <x:v>15</x:v>
      </x:c>
      <x:c r="C5" s="18" t="n">
        <x:f>COUNTIF('Événements'!$E$4:$E$49,"secondary")</x:f>
        <x:v>31</x:v>
      </x:c>
      <x:c r="D5" s="19" t="n">
        <x:f>COUNTIF('Événements'!$O$4:$O$49,"city")</x:f>
        <x:v>31</x:v>
      </x:c>
    </x:row>
    <x:row r="7">
      <x:c r="A7" s="23" t="str">
        <x:v>Étape</x:v>
      </x:c>
      <x:c r="B7" s="23" t="str">
        <x:v>Règle de gestion</x:v>
      </x:c>
      <x:c r="C7" s="23" t="str"/>
      <x:c r="D7" s="23" t="str"/>
      <x:c r="F7" s="20" t="str">
        <x:v>Précision des marqueurs</x:v>
      </x:c>
      <x:c r="G7" s="20"/>
      <x:c r="H7" s="20"/>
      <x:c r="I7" s="20"/>
      <x:c r="J7" s="20"/>
    </x:row>
    <x:row r="8" ht="32" customHeight="1">
      <x:c r="A8" s="26" t="str">
        <x:v>1 · Lire</x:v>
      </x:c>
      <x:c r="B8" s="24" t="str">
        <x:v>Seules les URL source et inscription publiques sont conservées ; aucun e-mail ou téléphone n’est dans le lot.</x:v>
      </x:c>
      <x:c r="C8" s="24" t="str"/>
      <x:c r="D8" s="24" t="str"/>
      <x:c r="F8" s="26" t="str">
        <x:v>street / locality</x:v>
      </x:c>
      <x:c r="G8" s="24" t="str">
        <x:v>Point exact seulement après concordance IGN + ville/code postal.</x:v>
      </x:c>
      <x:c r="H8" s="24" t="str"/>
      <x:c r="I8" s="24" t="str"/>
      <x:c r="J8" s="24" t="str"/>
    </x:row>
    <x:row r="9" ht="32" customHeight="1">
      <x:c r="A9" s="26" t="str">
        <x:v>2 · Géocoder</x:v>
      </x:c>
      <x:c r="B9" s="24" t="str">
        <x:v>À faire côté serveur avec IGN/Géoplateforme. Comparer la ville et le code postal avant d’enregistrer un point WGS84.</x:v>
      </x:c>
      <x:c r="C9" s="24" t="str"/>
      <x:c r="D9" s="24" t="str"/>
      <x:c r="F9" s="26" t="str">
        <x:v>city</x:v>
      </x:c>
      <x:c r="G9" s="24" t="str">
        <x:v>Point de ville explicitement approximatif : ne jamais le présenter comme le terrain.</x:v>
      </x:c>
      <x:c r="H9" s="24" t="str"/>
      <x:c r="I9" s="24" t="str"/>
      <x:c r="J9" s="24" t="str"/>
    </x:row>
    <x:row r="10" ht="32" customHeight="1">
      <x:c r="A10" s="26" t="str">
        <x:v>3 · Prévisualiser</x:v>
      </x:c>
      <x:c r="B10" s="24" t="str">
        <x:v>Importer avec le compte administrateur interne, statut Brouillon admin et visibilité de prévisualisation uniquement.</x:v>
      </x:c>
      <x:c r="C10" s="24" t="str"/>
      <x:c r="D10" s="24" t="str"/>
      <x:c r="F10" s="26" t="str">
        <x:v>undisclosed</x:v>
      </x:c>
      <x:c r="G10" s="24" t="str">
        <x:v>Aucun point public : le lieu reste volontairement masqué.</x:v>
      </x:c>
      <x:c r="H10" s="24" t="str"/>
      <x:c r="I10" s="24" t="str"/>
      <x:c r="J10" s="24" t="str"/>
    </x:row>
    <x:row r="11" ht="32" customHeight="1">
      <x:c r="A11" s="26" t="str">
        <x:v>4 · Contrôler</x:v>
      </x:c>
      <x:c r="B11" s="24" t="str">
        <x:v>Les sources secondary demandent une vérification renforcée ; une source primary doit aussi être recontrôlée avant publication.</x:v>
      </x:c>
      <x:c r="C11" s="24" t="str"/>
      <x:c r="D11" s="24" t="str"/>
      <x:c r="F11" s="26" t="str">
        <x:v>WGS84</x:v>
      </x:c>
      <x:c r="G11" s="24" t="str">
        <x:v>Latitude/longitude, pas de coordonnées écran ; Leaflet et GeoJSON locaux, sans CDN.</x:v>
      </x:c>
      <x:c r="H11" s="24" t="str"/>
      <x:c r="I11" s="24" t="str"/>
      <x:c r="J11" s="24" t="str"/>
    </x:row>
    <x:row r="12" ht="35" customHeight="1">
      <x:c r="A12" s="26" t="str">
        <x:v>5 · Publier</x:v>
      </x:c>
      <x:c r="B12" s="24" t="str">
        <x:v>Action manuelle explicite uniquement, après vérification de la date, du lieu, des règles et du lien d’inscription.</x:v>
      </x:c>
      <x:c r="C12" s="24" t="str"/>
      <x:c r="D12" s="24" t="str"/>
    </x:row>
    <x:row r="13" ht="35" customHeight="1">
      <x:c r="A13" s="26" t="str">
        <x:v>6 · Tester la carte</x:v>
      </x:c>
      <x:c r="B13" s="24" t="str">
        <x:v>Utiliser 200 fixtures privées et déterministes en local pour le stress test, jamais de faux événements sur la carte publique.</x:v>
      </x:c>
      <x:c r="C13" s="24" t="str"/>
      <x:c r="D13" s="24" t="str"/>
    </x:row>
    <x:row r="15" ht="28" customHeight="1">
      <x:c r="A15" s="28" t="str">
        <x:v>Le JSON est la source d’import fiable ; cette feuille sert à la relecture et au suivi manuel avant que Codex n’exécute un dry-run.</x:v>
      </x:c>
      <x:c r="B15" s="28"/>
      <x:c r="C15" s="28"/>
      <x:c r="D15" s="28"/>
      <x:c r="E15" s="28"/>
      <x:c r="F15" s="28"/>
      <x:c r="G15" s="28"/>
      <x:c r="H15" s="28"/>
      <x:c r="I15" s="28"/>
      <x:c r="J15" s="28"/>
    </x:row>
  </x:sheetData>
  <x:mergeCells>
    <x:mergeCell ref="A1:J1"/>
    <x:mergeCell ref="A2:J2"/>
    <x:mergeCell ref="B8:D8"/>
    <x:mergeCell ref="B9:D9"/>
    <x:mergeCell ref="B10:D10"/>
    <x:mergeCell ref="B11:D11"/>
    <x:mergeCell ref="B12:D12"/>
    <x:mergeCell ref="B13:D13"/>
    <x:mergeCell ref="F7:J7"/>
    <x:mergeCell ref="G8:J8"/>
    <x:mergeCell ref="G9:J9"/>
    <x:mergeCell ref="G10:J10"/>
    <x:mergeCell ref="G11:J11"/>
    <x:mergeCell ref="A15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25" hidden="0" customWidth="1"/>
    <x:col min="4" max="4" width="19" hidden="0" customWidth="1"/>
    <x:col min="5" max="5" width="14" hidden="0" customWidth="1"/>
    <x:col min="6" max="6" width="20" hidden="0" customWidth="1"/>
    <x:col min="7" max="7" width="20" hidden="0" customWidth="1"/>
    <x:col min="8" max="8" width="20" hidden="0" customWidth="1"/>
    <x:col min="9" max="9" width="17" hidden="0" customWidth="1"/>
    <x:col min="10" max="10" width="28" hidden="0" customWidth="1"/>
    <x:col min="11" max="11" width="28" hidden="0" customWidth="1"/>
    <x:col min="12" max="12" width="14" hidden="0" customWidth="1"/>
    <x:col min="13" max="13" width="20" hidden="0" customWidth="1"/>
    <x:col min="14" max="14" width="12" hidden="0" customWidth="1"/>
    <x:col min="15" max="15" width="17" hidden="0" customWidth="1"/>
    <x:col min="16" max="16" width="35" hidden="0" customWidth="1"/>
    <x:col min="17" max="17" width="13" hidden="0" customWidth="1"/>
    <x:col min="18" max="18" width="13" hidden="0" customWidth="1"/>
    <x:col min="19" max="19" width="12" hidden="0" customWidth="1"/>
    <x:col min="20" max="20" width="46" hidden="0" customWidth="1"/>
    <x:col min="21" max="21" width="44" hidden="0" customWidth="1"/>
    <x:col min="22" max="22" width="44" hidden="0" customWidth="1"/>
    <x:col min="23" max="23" width="26" hidden="0" customWidth="1"/>
    <x:col min="24" max="24" width="18" hidden="0" customWidth="1"/>
    <x:col min="25" max="25" width="36" hidden="0" customWidth="1"/>
  </x:cols>
  <x:sheetData>
    <x:row r="1" ht="30" customHeight="1">
      <x:c r="A1" s="30" t="str">
        <x:v>F.A.T. // RADAR — événements à recontrôler avant import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</x:row>
    <x:row r="2" ht="30" customHeight="1">
      <x:c r="A2" s="7" t="str">
        <x:v>Tous les enregistrements ont l’état Brouillon admin. Les coordonnées sont volontairement absentes du fichier et doivent être validées côté serveur via IGN/Géoplateforme.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 ht="35" customHeight="1">
      <x:c r="A3" s="33" t="str">
        <x:v>Clé externe</x:v>
      </x:c>
      <x:c r="B3" s="33" t="str">
        <x:v>Titre</x:v>
      </x:c>
      <x:c r="C3" s="33" t="str">
        <x:v>Organisateur</x:v>
      </x:c>
      <x:c r="D3" s="33" t="str">
        <x:v>Type organisateur</x:v>
      </x:c>
      <x:c r="E3" s="33" t="str">
        <x:v>Niveau source</x:v>
      </x:c>
      <x:c r="F3" s="33" t="str">
        <x:v>Début</x:v>
      </x:c>
      <x:c r="G3" s="33" t="str">
        <x:v>Fin</x:v>
      </x:c>
      <x:c r="H3" s="33" t="str">
        <x:v>Type de partie</x:v>
      </x:c>
      <x:c r="I3" s="33" t="str">
        <x:v>Terrain</x:v>
      </x:c>
      <x:c r="J3" s="33" t="str">
        <x:v>Libellé du lieu</x:v>
      </x:c>
      <x:c r="K3" s="33" t="str">
        <x:v>Adresse</x:v>
      </x:c>
      <x:c r="L3" s="33" t="str">
        <x:v>Code postal</x:v>
      </x:c>
      <x:c r="M3" s="33" t="str">
        <x:v>Ville</x:v>
      </x:c>
      <x:c r="N3" s="33" t="str">
        <x:v>Département</x:v>
      </x:c>
      <x:c r="O3" s="33" t="str">
        <x:v>Précision carte</x:v>
      </x:c>
      <x:c r="P3" s="33" t="str">
        <x:v>Requête IGN</x:v>
      </x:c>
      <x:c r="Q3" s="33" t="str">
        <x:v>Prix min (€)</x:v>
      </x:c>
      <x:c r="R3" s="33" t="str">
        <x:v>Prix max (€)</x:v>
      </x:c>
      <x:c r="S3" s="33" t="str">
        <x:v>Capacité</x:v>
      </x:c>
      <x:c r="T3" s="33" t="str">
        <x:v>Règles / notes</x:v>
      </x:c>
      <x:c r="U3" s="33" t="str">
        <x:v>URL source</x:v>
      </x:c>
      <x:c r="V3" s="33" t="str">
        <x:v>URL inscription</x:v>
      </x:c>
      <x:c r="W3" s="33" t="str">
        <x:v>Contrôle avant publication</x:v>
      </x:c>
      <x:c r="X3" s="33" t="str">
        <x:v>État d’import</x:v>
      </x:c>
      <x:c r="Y3" s="33" t="str">
        <x:v>Commentaire admin</x:v>
      </x:c>
    </x:row>
    <x:row r="4" ht="45" customHeight="1">
      <x:c r="A4" s="34" t="str">
        <x:v>primary-ftf-2026-07-25</x:v>
      </x:c>
      <x:c r="B4" s="34" t="str">
        <x:v>F.T.F — Nocturne et dominicale</x:v>
      </x:c>
      <x:c r="C4" s="34" t="str">
        <x:v>FRAGSOFT / F.T.F. 57</x:v>
      </x:c>
      <x:c r="D4" s="34" t="str">
        <x:v>association</x:v>
      </x:c>
      <x:c r="E4" s="34" t="str">
        <x:v>primary</x:v>
      </x:c>
      <x:c r="F4" s="38" t="str">
        <x:v>2026-07-25</x:v>
      </x:c>
      <x:c r="G4" s="38" t="str">
        <x:v>2026-07-26</x:v>
      </x:c>
      <x:c r="H4" s="34" t="str">
        <x:v>weekend_nocturne_dominicale</x:v>
      </x:c>
      <x:c r="I4" s="34" t="str">
        <x:v>unknown</x:v>
      </x:c>
      <x:c r="J4" s="34" t="str">
        <x:v>Terrain de la F.T.F</x:v>
      </x:c>
      <x:c r="K4" s="34" t="str">
        <x:v>57 Rue de la Gare</x:v>
      </x:c>
      <x:c r="L4" s="36" t="str">
        <x:v>57550</x:v>
      </x:c>
      <x:c r="M4" s="34" t="str">
        <x:v>Hargarten-aux-Mines</x:v>
      </x:c>
      <x:c r="N4" s="34" t="str">
        <x:v>57</x:v>
      </x:c>
      <x:c r="O4" s="34" t="str">
        <x:v>street</x:v>
      </x:c>
      <x:c r="P4" s="34" t="str">
        <x:v>57 Rue de la Gare, 57550 Hargarten-aux-Mines</x:v>
      </x:c>
      <x:c r="Q4" s="40" t="n">
        <x:v>8</x:v>
      </x:c>
      <x:c r="R4" s="40" t="n">
        <x:v>20</x:v>
      </x:c>
      <x:c r="S4" s="42" t="str"/>
      <x:c r="T4" s="34" t="str">
        <x:v>Week-end avec une nocturne puis une dominicale ; consulter l’organisateur pour les règles à jour.</x:v>
      </x:c>
      <x:c r="U4" s="34" t="str">
        <x:v>https://www.helloasso.com/associations/fragsoft</x:v>
      </x:c>
      <x:c r="V4" s="34" t="str">
        <x:v>https://www.helloasso.com/associations/fragsoft</x:v>
      </x:c>
      <x:c r="W4" s="34" t="str">
        <x:v>Oui — source à recontrôler</x:v>
      </x:c>
      <x:c r="X4" s="34" t="str">
        <x:v>Brouillon admin</x:v>
      </x:c>
      <x:c r="Y4" s="34" t="str"/>
    </x:row>
    <x:row r="5" ht="45" customHeight="1">
      <x:c r="A5" s="34" t="str">
        <x:v>primary-ari-2026-07-26</x:v>
      </x:c>
      <x:c r="B5" s="34" t="str">
        <x:v>Partie du dimanche — BeeBees</x:v>
      </x:c>
      <x:c r="C5" s="34" t="str">
        <x:v>Airsoft Rhône Immersion</x:v>
      </x:c>
      <x:c r="D5" s="34" t="str">
        <x:v>association</x:v>
      </x:c>
      <x:c r="E5" s="34" t="str">
        <x:v>primary</x:v>
      </x:c>
      <x:c r="F5" s="38" t="str">
        <x:v>2026-07-26</x:v>
      </x:c>
      <x:c r="G5" s="38" t="str">
        <x:v>2026-07-26</x:v>
      </x:c>
      <x:c r="H5" s="34" t="str">
        <x:v>dominicale</x:v>
      </x:c>
      <x:c r="I5" s="34" t="str">
        <x:v>unknown</x:v>
      </x:c>
      <x:c r="J5" s="34" t="str">
        <x:v>Chemin des Crapauds</x:v>
      </x:c>
      <x:c r="K5" s="34" t="str">
        <x:v>Chemin des Crapauds</x:v>
      </x:c>
      <x:c r="L5" s="36" t="str"/>
      <x:c r="M5" s="34" t="str">
        <x:v>Reyrieux</x:v>
      </x:c>
      <x:c r="N5" s="34" t="str">
        <x:v>01</x:v>
      </x:c>
      <x:c r="O5" s="34" t="str">
        <x:v>street</x:v>
      </x:c>
      <x:c r="P5" s="34" t="str">
        <x:v>Chemin des Crapauds, Reyrieux</x:v>
      </x:c>
      <x:c r="Q5" s="40" t="n">
        <x:v>10</x:v>
      </x:c>
      <x:c r="R5" s="40" t="n">
        <x:v>10</x:v>
      </x:c>
      <x:c r="S5" s="42" t="str"/>
      <x:c r="T5" s="34" t="str">
        <x:v>Location de répliques annoncée pour la partie BeeBees ; règlement à confirmer auprès de l’association.</x:v>
      </x:c>
      <x:c r="U5" s="34" t="str">
        <x:v>https://www.helloasso.com/associations/airsoft-rhone-immersion</x:v>
      </x:c>
      <x:c r="V5" s="34" t="str">
        <x:v>https://www.helloasso.com/associations/airsoft-rhone-immersion</x:v>
      </x:c>
      <x:c r="W5" s="34" t="str">
        <x:v>Oui — source à recontrôler</x:v>
      </x:c>
      <x:c r="X5" s="34" t="str">
        <x:v>Brouillon admin</x:v>
      </x:c>
      <x:c r="Y5" s="34" t="str"/>
    </x:row>
    <x:row r="6" ht="45" customHeight="1">
      <x:c r="A6" s="34" t="str">
        <x:v>primary-caen-2026-07-26</x:v>
      </x:c>
      <x:c r="B6" s="34" t="str">
        <x:v>Partie publique du 26 juillet</x:v>
      </x:c>
      <x:c r="C6" s="34" t="str">
        <x:v>Caen Airsoft Team</x:v>
      </x:c>
      <x:c r="D6" s="34" t="str">
        <x:v>association</x:v>
      </x:c>
      <x:c r="E6" s="34" t="str">
        <x:v>primary</x:v>
      </x:c>
      <x:c r="F6" s="38" t="str">
        <x:v>2026-07-26</x:v>
      </x:c>
      <x:c r="G6" s="38" t="str">
        <x:v>2026-07-26</x:v>
      </x:c>
      <x:c r="H6" s="34" t="str">
        <x:v>dominicale</x:v>
      </x:c>
      <x:c r="I6" s="34" t="str">
        <x:v>CQB</x:v>
      </x:c>
      <x:c r="J6" s="34" t="str">
        <x:v>The Store</x:v>
      </x:c>
      <x:c r="K6" s="34" t="str">
        <x:v>1 Rue Auguste Lemonnier</x:v>
      </x:c>
      <x:c r="L6" s="36" t="str">
        <x:v>14270</x:v>
      </x:c>
      <x:c r="M6" s="34" t="str">
        <x:v>Ouézy</x:v>
      </x:c>
      <x:c r="N6" s="34" t="str">
        <x:v>14</x:v>
      </x:c>
      <x:c r="O6" s="34" t="str">
        <x:v>street</x:v>
      </x:c>
      <x:c r="P6" s="34" t="str">
        <x:v>1 Rue Auguste Lemonnier, 14270 Ouézy</x:v>
      </x:c>
      <x:c r="Q6" s="40" t="n">
        <x:v>10</x:v>
      </x:c>
      <x:c r="R6" s="40" t="n">
        <x:v>50</x:v>
      </x:c>
      <x:c r="S6" s="42" t="str"/>
      <x:c r="T6" s="34" t="str">
        <x:v>Réservé aux majeurs ; informations de règles et de puissance renvoyées vers le site de l’association.</x:v>
      </x:c>
      <x:c r="U6" s="34" t="str">
        <x:v>https://www.helloasso.com/associations/caen-airsoft-team</x:v>
      </x:c>
      <x:c r="V6" s="34" t="str">
        <x:v>https://www.helloasso.com/associations/caen-airsoft-team</x:v>
      </x:c>
      <x:c r="W6" s="34" t="str">
        <x:v>Oui — source à recontrôler</x:v>
      </x:c>
      <x:c r="X6" s="34" t="str">
        <x:v>Brouillon admin</x:v>
      </x:c>
      <x:c r="Y6" s="34" t="str"/>
    </x:row>
    <x:row r="7" ht="45" customHeight="1">
      <x:c r="A7" s="34" t="str">
        <x:v>primary-caen-2026-08-09</x:v>
      </x:c>
      <x:c r="B7" s="34" t="str">
        <x:v>Partie publique du 9 août</x:v>
      </x:c>
      <x:c r="C7" s="34" t="str">
        <x:v>Caen Airsoft Team</x:v>
      </x:c>
      <x:c r="D7" s="34" t="str">
        <x:v>association</x:v>
      </x:c>
      <x:c r="E7" s="34" t="str">
        <x:v>primary</x:v>
      </x:c>
      <x:c r="F7" s="38" t="str">
        <x:v>2026-08-09</x:v>
      </x:c>
      <x:c r="G7" s="38" t="str">
        <x:v>2026-08-09</x:v>
      </x:c>
      <x:c r="H7" s="34" t="str">
        <x:v>dominicale</x:v>
      </x:c>
      <x:c r="I7" s="34" t="str">
        <x:v>CQB</x:v>
      </x:c>
      <x:c r="J7" s="34" t="str">
        <x:v>The Store</x:v>
      </x:c>
      <x:c r="K7" s="34" t="str">
        <x:v>1 Rue Auguste Lemonnier</x:v>
      </x:c>
      <x:c r="L7" s="36" t="str">
        <x:v>14270</x:v>
      </x:c>
      <x:c r="M7" s="34" t="str">
        <x:v>Ouézy</x:v>
      </x:c>
      <x:c r="N7" s="34" t="str">
        <x:v>14</x:v>
      </x:c>
      <x:c r="O7" s="34" t="str">
        <x:v>street</x:v>
      </x:c>
      <x:c r="P7" s="34" t="str">
        <x:v>1 Rue Auguste Lemonnier, 14270 Ouézy</x:v>
      </x:c>
      <x:c r="Q7" s="40" t="n">
        <x:v>10</x:v>
      </x:c>
      <x:c r="R7" s="40" t="n">
        <x:v>50</x:v>
      </x:c>
      <x:c r="S7" s="42" t="str"/>
      <x:c r="T7" s="34" t="str">
        <x:v>Réservé aux majeurs ; informations de règles et de puissance renvoyées vers le site de l’association.</x:v>
      </x:c>
      <x:c r="U7" s="34" t="str">
        <x:v>https://www.helloasso.com/associations/caen-airsoft-team</x:v>
      </x:c>
      <x:c r="V7" s="34" t="str">
        <x:v>https://www.helloasso.com/associations/caen-airsoft-team</x:v>
      </x:c>
      <x:c r="W7" s="34" t="str">
        <x:v>Oui — source à recontrôler</x:v>
      </x:c>
      <x:c r="X7" s="34" t="str">
        <x:v>Brouillon admin</x:v>
      </x:c>
      <x:c r="Y7" s="34" t="str"/>
    </x:row>
    <x:row r="8" ht="45" customHeight="1">
      <x:c r="A8" s="34" t="str">
        <x:v>primary-verdun-2026-07-26</x:v>
      </x:c>
      <x:c r="B8" s="34" t="str">
        <x:v>Dominicale 07-2026 — scénarios variés</x:v>
      </x:c>
      <x:c r="C8" s="34" t="str">
        <x:v>Verdun Airsoft</x:v>
      </x:c>
      <x:c r="D8" s="34" t="str">
        <x:v>association</x:v>
      </x:c>
      <x:c r="E8" s="34" t="str">
        <x:v>primary</x:v>
      </x:c>
      <x:c r="F8" s="38" t="str">
        <x:v>2026-07-26</x:v>
      </x:c>
      <x:c r="G8" s="38" t="str">
        <x:v>2026-07-26</x:v>
      </x:c>
      <x:c r="H8" s="34" t="str">
        <x:v>dominicale</x:v>
      </x:c>
      <x:c r="I8" s="34" t="str">
        <x:v>foret</x:v>
      </x:c>
      <x:c r="J8" s="34" t="str">
        <x:v>Terrain de Dieue</x:v>
      </x:c>
      <x:c r="K8" s="34" t="str">
        <x:v>Rue de la Meuse</x:v>
      </x:c>
      <x:c r="L8" s="36" t="str">
        <x:v>55320</x:v>
      </x:c>
      <x:c r="M8" s="34" t="str">
        <x:v>Dieue-sur-Meuse</x:v>
      </x:c>
      <x:c r="N8" s="34" t="str">
        <x:v>55</x:v>
      </x:c>
      <x:c r="O8" s="34" t="str">
        <x:v>street</x:v>
      </x:c>
      <x:c r="P8" s="34" t="str">
        <x:v>Rue de la Meuse, 55320 Dieue-sur-Meuse</x:v>
      </x:c>
      <x:c r="Q8" s="40" t="n">
        <x:v>10</x:v>
      </x:c>
      <x:c r="R8" s="40" t="n">
        <x:v>10</x:v>
      </x:c>
      <x:c r="S8" s="42" t="str"/>
      <x:c r="T8" s="34" t="str">
        <x:v>Scénarios ajustés au nombre de joueurs ; horaires et accès annoncés par l’organisateur.</x:v>
      </x:c>
      <x:c r="U8" s="34" t="str">
        <x:v>https://www.helloasso.com/associations/verdun-airsoft</x:v>
      </x:c>
      <x:c r="V8" s="34" t="str">
        <x:v>https://www.helloasso.com/associations/verdun-airsoft</x:v>
      </x:c>
      <x:c r="W8" s="34" t="str">
        <x:v>Oui — source à recontrôler</x:v>
      </x:c>
      <x:c r="X8" s="34" t="str">
        <x:v>Brouillon admin</x:v>
      </x:c>
      <x:c r="Y8" s="34" t="str"/>
    </x:row>
    <x:row r="9" ht="45" customHeight="1">
      <x:c r="A9" s="34" t="str">
        <x:v>primary-verdun-reactions-2026-08-15</x:v>
      </x:c>
      <x:c r="B9" s="34" t="str">
        <x:v>Réactions rapides 2026</x:v>
      </x:c>
      <x:c r="C9" s="34" t="str">
        <x:v>Verdun Airsoft</x:v>
      </x:c>
      <x:c r="D9" s="34" t="str">
        <x:v>association</x:v>
      </x:c>
      <x:c r="E9" s="34" t="str">
        <x:v>primary</x:v>
      </x:c>
      <x:c r="F9" s="38" t="str">
        <x:v>2026-08-15</x:v>
      </x:c>
      <x:c r="G9" s="38" t="str">
        <x:v>2026-08-16</x:v>
      </x:c>
      <x:c r="H9" s="34" t="str">
        <x:v>OP</x:v>
      </x:c>
      <x:c r="I9" s="34" t="str">
        <x:v>mixte</x:v>
      </x:c>
      <x:c r="J9" s="34" t="str">
        <x:v>Village de combat — Bainville-sur-Madon</x:v>
      </x:c>
      <x:c r="K9" s="34" t="str">
        <x:v>Fort de Bainville-sur-Madon</x:v>
      </x:c>
      <x:c r="L9" s="36" t="str">
        <x:v>54550</x:v>
      </x:c>
      <x:c r="M9" s="34" t="str">
        <x:v>Bainville-sur-Madon</x:v>
      </x:c>
      <x:c r="N9" s="34" t="str">
        <x:v>54</x:v>
      </x:c>
      <x:c r="O9" s="34" t="str">
        <x:v>street</x:v>
      </x:c>
      <x:c r="P9" s="34" t="str">
        <x:v>Fort de Bainville-sur-Madon, 54550 Bainville-sur-Madon</x:v>
      </x:c>
      <x:c r="Q9" s="40" t="n">
        <x:v>50</x:v>
      </x:c>
      <x:c r="R9" s="40" t="str"/>
      <x:c r="S9" s="42" t="str"/>
      <x:c r="T9" s="34" t="str">
        <x:v>Pré-inscription et informations détaillées à revalider auprès de l’association.</x:v>
      </x:c>
      <x:c r="U9" s="34" t="str">
        <x:v>https://www.helloasso.com/associations/verdun-airsoft</x:v>
      </x:c>
      <x:c r="V9" s="34" t="str">
        <x:v>https://www.helloasso.com/associations/verdun-airsoft</x:v>
      </x:c>
      <x:c r="W9" s="34" t="str">
        <x:v>Oui — source à recontrôler</x:v>
      </x:c>
      <x:c r="X9" s="34" t="str">
        <x:v>Brouillon admin</x:v>
      </x:c>
      <x:c r="Y9" s="34" t="str"/>
    </x:row>
    <x:row r="10" ht="45" customHeight="1">
      <x:c r="A10" s="34" t="str">
        <x:v>primary-armorica-libera-2026-08-01</x:v>
      </x:c>
      <x:c r="B10" s="34" t="str">
        <x:v>OP Armorica Libera</x:v>
      </x:c>
      <x:c r="C10" s="34" t="str">
        <x:v>Escouade Ghost Forest et Klan des Kroustillants</x:v>
      </x:c>
      <x:c r="D10" s="34" t="str">
        <x:v>association</x:v>
      </x:c>
      <x:c r="E10" s="34" t="str">
        <x:v>primary</x:v>
      </x:c>
      <x:c r="F10" s="38" t="str">
        <x:v>2026-08-01</x:v>
      </x:c>
      <x:c r="G10" s="38" t="str">
        <x:v>2026-08-02</x:v>
      </x:c>
      <x:c r="H10" s="34" t="str">
        <x:v>OP</x:v>
      </x:c>
      <x:c r="I10" s="34" t="str">
        <x:v>unknown</x:v>
      </x:c>
      <x:c r="J10" s="34" t="str">
        <x:v>Terrain du Klan, près de Guingamp</x:v>
      </x:c>
      <x:c r="K10" s="34" t="str"/>
      <x:c r="L10" s="36" t="str"/>
      <x:c r="M10" s="34" t="str">
        <x:v>Guingamp</x:v>
      </x:c>
      <x:c r="N10" s="34" t="str">
        <x:v>22</x:v>
      </x:c>
      <x:c r="O10" s="34" t="str">
        <x:v>city</x:v>
      </x:c>
      <x:c r="P10" s="34" t="str">
        <x:v>Guingamp, 22200</x:v>
      </x:c>
      <x:c r="Q10" s="40" t="n">
        <x:v>25</x:v>
      </x:c>
      <x:c r="R10" s="40" t="n">
        <x:v>25</x:v>
      </x:c>
      <x:c r="S10" s="42" t="str"/>
      <x:c r="T10" s="34" t="str">
        <x:v>Terrain annoncé près de Guingamp : ne jamais transformer ce point de ville en adresse de terrain.</x:v>
      </x:c>
      <x:c r="U10" s="34" t="str">
        <x:v>https://www.helloasso.com/associations/escouadeghostforest</x:v>
      </x:c>
      <x:c r="V10" s="34" t="str">
        <x:v>https://www.helloasso.com/associations/escouadeghostforest</x:v>
      </x:c>
      <x:c r="W10" s="34" t="str">
        <x:v>Oui — source à recontrôler</x:v>
      </x:c>
      <x:c r="X10" s="34" t="str">
        <x:v>Brouillon admin</x:v>
      </x:c>
      <x:c r="Y10" s="34" t="str"/>
    </x:row>
    <x:row r="11" ht="45" customHeight="1">
      <x:c r="A11" s="34" t="str">
        <x:v>primary-gaz-cqb-shelter-2026-08-08</x:v>
      </x:c>
      <x:c r="B11" s="34" t="str">
        <x:v>CQB Shelter La Rochelle — expérience immersive Real Cap</x:v>
      </x:c>
      <x:c r="C11" s="34" t="str">
        <x:v>Gaz Airsoft Organisation</x:v>
      </x:c>
      <x:c r="D11" s="34" t="str">
        <x:v>association</x:v>
      </x:c>
      <x:c r="E11" s="34" t="str">
        <x:v>primary</x:v>
      </x:c>
      <x:c r="F11" s="38" t="n">
        <x:v>46242.458333333336</x:v>
      </x:c>
      <x:c r="G11" s="38" t="n">
        <x:v>46243.145833333336</x:v>
      </x:c>
      <x:c r="H11" s="34" t="str">
        <x:v>training_real_cap</x:v>
      </x:c>
      <x:c r="I11" s="34" t="str">
        <x:v>CQB</x:v>
      </x:c>
      <x:c r="J11" s="34" t="str">
        <x:v>R’Soft Games / VS Park La Rochelle</x:v>
      </x:c>
      <x:c r="K11" s="34" t="str">
        <x:v>41 ZI des Grands Champs</x:v>
      </x:c>
      <x:c r="L11" s="36" t="str">
        <x:v>17290</x:v>
      </x:c>
      <x:c r="M11" s="34" t="str">
        <x:v>Aigrefeuille-d’Aunis</x:v>
      </x:c>
      <x:c r="N11" s="34" t="str">
        <x:v>17</x:v>
      </x:c>
      <x:c r="O11" s="34" t="str">
        <x:v>street</x:v>
      </x:c>
      <x:c r="P11" s="34" t="str">
        <x:v>41 ZI des Grands Champs, 17290 Aigrefeuille-d’Aunis</x:v>
      </x:c>
      <x:c r="Q11" s="40" t="str"/>
      <x:c r="R11" s="40" t="str"/>
      <x:c r="S11" s="42" t="str"/>
      <x:c r="T11" s="34" t="str">
        <x:v>AEG, HPA et GBBR selon règles Real Cap ; 1,20 J maximum, 0,32 g maximum, radio et protections imposées.</x:v>
      </x:c>
      <x:c r="U11" s="34" t="str">
        <x:v>https://www.helloasso.com/associations/gaz-airsoft-organisation/evenements/training-dimanche-9-aout-cqb-la-rochelle</x:v>
      </x:c>
      <x:c r="V11" s="34" t="str">
        <x:v>https://www.helloasso.com/associations/gaz-airsoft-organisation/evenements/training-dimanche-9-aout-cqb-la-rochelle</x:v>
      </x:c>
      <x:c r="W11" s="34" t="str">
        <x:v>Oui — source à recontrôler</x:v>
      </x:c>
      <x:c r="X11" s="34" t="str">
        <x:v>Brouillon admin</x:v>
      </x:c>
      <x:c r="Y11" s="34" t="str"/>
    </x:row>
    <x:row r="12" ht="45" customHeight="1">
      <x:c r="A12" s="34" t="str">
        <x:v>primary-op-chimere-2026-09-27</x:v>
      </x:c>
      <x:c r="B12" s="34" t="str">
        <x:v>OP Chimère</x:v>
      </x:c>
      <x:c r="C12" s="34" t="str">
        <x:v>Les Mordus du 6 mm</x:v>
      </x:c>
      <x:c r="D12" s="34" t="str">
        <x:v>organizer_unverified</x:v>
      </x:c>
      <x:c r="E12" s="34" t="str">
        <x:v>primary</x:v>
      </x:c>
      <x:c r="F12" s="38" t="n">
        <x:v>46292.229166666664</x:v>
      </x:c>
      <x:c r="G12" s="38" t="str">
        <x:v>2026-09-27</x:v>
      </x:c>
      <x:c r="H12" s="34" t="str">
        <x:v>OP</x:v>
      </x:c>
      <x:c r="I12" s="34" t="str">
        <x:v>foret</x:v>
      </x:c>
      <x:c r="J12" s="34" t="str">
        <x:v>Troupins</x:v>
      </x:c>
      <x:c r="K12" s="34" t="str">
        <x:v>137 Cassan</x:v>
      </x:c>
      <x:c r="L12" s="36" t="str">
        <x:v>33720</x:v>
      </x:c>
      <x:c r="M12" s="34" t="str">
        <x:v>Landiras</x:v>
      </x:c>
      <x:c r="N12" s="34" t="str">
        <x:v>33</x:v>
      </x:c>
      <x:c r="O12" s="34" t="str">
        <x:v>street</x:v>
      </x:c>
      <x:c r="P12" s="34" t="str">
        <x:v>137 Cassan, 33720 Landiras</x:v>
      </x:c>
      <x:c r="Q12" s="40" t="n">
        <x:v>20</x:v>
      </x:c>
      <x:c r="R12" s="40" t="n">
        <x:v>20</x:v>
      </x:c>
      <x:c r="S12" s="42" t="n">
        <x:v>75</x:v>
      </x:c>
      <x:c r="T12" s="34" t="str">
        <x:v>Chrony à la bille de jeu ; jusqu’à 2 J selon distances ; grenades gaz, mécaniques et CO2 autorisées sous conditions.</x:v>
      </x:c>
      <x:c r="U12" s="34" t="str">
        <x:v>https://www.billetweb.fr/op-chimere</x:v>
      </x:c>
      <x:c r="V12" s="34" t="str">
        <x:v>https://www.billetweb.fr/op-chimere</x:v>
      </x:c>
      <x:c r="W12" s="34" t="str">
        <x:v>Oui — source à recontrôler</x:v>
      </x:c>
      <x:c r="X12" s="34" t="str">
        <x:v>Brouillon admin</x:v>
      </x:c>
      <x:c r="Y12" s="34" t="str"/>
    </x:row>
    <x:row r="13" ht="45" customHeight="1">
      <x:c r="A13" s="34" t="str">
        <x:v>primary-arca-husky-2026-10-02</x:v>
      </x:c>
      <x:c r="B13" s="34" t="str">
        <x:v>OP Husky 2026</x:v>
      </x:c>
      <x:c r="C13" s="34" t="str">
        <x:v>Aquitaine Reconstitutions Commémorations Airsoft (ARCA)</x:v>
      </x:c>
      <x:c r="D13" s="34" t="str">
        <x:v>association</x:v>
      </x:c>
      <x:c r="E13" s="34" t="str">
        <x:v>primary</x:v>
      </x:c>
      <x:c r="F13" s="38" t="n">
        <x:v>46297.666666666664</x:v>
      </x:c>
      <x:c r="G13" s="38" t="n">
        <x:v>46299.458333333336</x:v>
      </x:c>
      <x:c r="H13" s="34" t="str">
        <x:v>OP_historique</x:v>
      </x:c>
      <x:c r="I13" s="34" t="str">
        <x:v>mixte</x:v>
      </x:c>
      <x:c r="J13" s="34" t="str">
        <x:v>Wildmax — La Plotuère</x:v>
      </x:c>
      <x:c r="K13" s="34" t="str">
        <x:v>La Plotuère</x:v>
      </x:c>
      <x:c r="L13" s="36" t="str">
        <x:v>41230</x:v>
      </x:c>
      <x:c r="M13" s="34" t="str">
        <x:v>Gy-en-Sologne</x:v>
      </x:c>
      <x:c r="N13" s="34" t="str">
        <x:v>41</x:v>
      </x:c>
      <x:c r="O13" s="34" t="str">
        <x:v>locality</x:v>
      </x:c>
      <x:c r="P13" s="34" t="str">
        <x:v>La Plotuère, 41230 Gy-en-Sologne</x:v>
      </x:c>
      <x:c r="Q13" s="40" t="n">
        <x:v>40</x:v>
      </x:c>
      <x:c r="R13" s="40" t="n">
        <x:v>40</x:v>
      </x:c>
      <x:c r="S13" s="42" t="n">
        <x:v>120</x:v>
      </x:c>
      <x:c r="T13" s="34" t="str">
        <x:v>OP scénarisée historique sur deux jours ; revalider tenue, factions et règlement avant publication.</x:v>
      </x:c>
      <x:c r="U13" s="34" t="str">
        <x:v>https://www.helloasso.com/associations/aquitaine-reconstitutions-commemorations-airsoft</x:v>
      </x:c>
      <x:c r="V13" s="34" t="str">
        <x:v>https://www.helloasso.com/associations/aquitaine-reconstitutions-commemorations-airsoft</x:v>
      </x:c>
      <x:c r="W13" s="34" t="str">
        <x:v>Oui — source à recontrôler</x:v>
      </x:c>
      <x:c r="X13" s="34" t="str">
        <x:v>Brouillon admin</x:v>
      </x:c>
      <x:c r="Y13" s="34" t="str"/>
    </x:row>
    <x:row r="14" ht="45" customHeight="1">
      <x:c r="A14" s="34" t="str">
        <x:v>primary-black-sheep-fallout-2026-10-10</x:v>
      </x:c>
      <x:c r="B14" s="34" t="str">
        <x:v>FALLOUT — pré-inscription</x:v>
      </x:c>
      <x:c r="C14" s="34" t="str">
        <x:v>Black Sheep Airsoft</x:v>
      </x:c>
      <x:c r="D14" s="34" t="str">
        <x:v>association</x:v>
      </x:c>
      <x:c r="E14" s="34" t="str">
        <x:v>primary</x:v>
      </x:c>
      <x:c r="F14" s="38" t="n">
        <x:v>46305.25</x:v>
      </x:c>
      <x:c r="G14" s="38" t="n">
        <x:v>46306.49930555555</x:v>
      </x:c>
      <x:c r="H14" s="34" t="str">
        <x:v>OP_roleplay</x:v>
      </x:c>
      <x:c r="I14" s="34" t="str">
        <x:v>unknown</x:v>
      </x:c>
      <x:c r="J14" s="34" t="str">
        <x:v>Warhouse — lieu détaillé à confirmer</x:v>
      </x:c>
      <x:c r="K14" s="34" t="str"/>
      <x:c r="L14" s="36" t="str"/>
      <x:c r="M14" s="34" t="str"/>
      <x:c r="N14" s="34" t="str"/>
      <x:c r="O14" s="34" t="str">
        <x:v>undisclosed</x:v>
      </x:c>
      <x:c r="P14" s="34" t="str"/>
      <x:c r="Q14" s="40" t="str"/>
      <x:c r="R14" s="40" t="str"/>
      <x:c r="S14" s="42" t="str"/>
      <x:c r="T14" s="34" t="str">
        <x:v>Pré-inscription avec validation de tenue et dress code : aucun point public tant que le lieu n’est pas public.</x:v>
      </x:c>
      <x:c r="U14" s="34" t="str">
        <x:v>https://www.helloasso.com/associations/black-sheep-airsoft/evenements/fallout-pre-inscription</x:v>
      </x:c>
      <x:c r="V14" s="34" t="str">
        <x:v>https://www.helloasso.com/associations/black-sheep-airsoft/evenements/fallout-pre-inscription</x:v>
      </x:c>
      <x:c r="W14" s="34" t="str">
        <x:v>Oui — source à recontrôler</x:v>
      </x:c>
      <x:c r="X14" s="34" t="str">
        <x:v>Brouillon admin</x:v>
      </x:c>
      <x:c r="Y14" s="34" t="str"/>
    </x:row>
    <x:row r="15" ht="45" customHeight="1">
      <x:c r="A15" s="34" t="str">
        <x:v>primary-big-game-veckring-2026-10-09</x:v>
      </x:c>
      <x:c r="B15" s="34" t="str">
        <x:v>Big Game Airsoft 2026</x:v>
      </x:c>
      <x:c r="C15" s="34" t="str">
        <x:v>Paintball Sports et Loisirs Veckring</x:v>
      </x:c>
      <x:c r="D15" s="34" t="str">
        <x:v>venue</x:v>
      </x:c>
      <x:c r="E15" s="34" t="str">
        <x:v>primary</x:v>
      </x:c>
      <x:c r="F15" s="38" t="str">
        <x:v>2026-10-09</x:v>
      </x:c>
      <x:c r="G15" s="38" t="str">
        <x:v>2026-10-11</x:v>
      </x:c>
      <x:c r="H15" s="34" t="str">
        <x:v>big_game</x:v>
      </x:c>
      <x:c r="I15" s="34" t="str">
        <x:v>mixte</x:v>
      </x:c>
      <x:c r="J15" s="34" t="str">
        <x:v>Paintball Sports et Loisirs</x:v>
      </x:c>
      <x:c r="K15" s="34" t="str">
        <x:v>Route de Helling</x:v>
      </x:c>
      <x:c r="L15" s="36" t="str">
        <x:v>57920</x:v>
      </x:c>
      <x:c r="M15" s="34" t="str">
        <x:v>Veckring</x:v>
      </x:c>
      <x:c r="N15" s="34" t="str">
        <x:v>57</x:v>
      </x:c>
      <x:c r="O15" s="34" t="str">
        <x:v>street</x:v>
      </x:c>
      <x:c r="P15" s="34" t="str">
        <x:v>Route de Helling, 57920 Veckring</x:v>
      </x:c>
      <x:c r="Q15" s="40" t="n">
        <x:v>79</x:v>
      </x:c>
      <x:c r="R15" s="40" t="n">
        <x:v>125</x:v>
      </x:c>
      <x:c r="S15" s="42" t="str"/>
      <x:c r="T15" s="34" t="str">
        <x:v>Trois jours de jeu, camping et tournoi CQB ; vérifier tarifs et conditions de participation sur le site du terrain.</x:v>
      </x:c>
      <x:c r="U15" s="34" t="str">
        <x:v>https://www.paintball-veckring.fr/fr/big-game-airsoft/</x:v>
      </x:c>
      <x:c r="V15" s="34" t="str"/>
      <x:c r="W15" s="34" t="str">
        <x:v>Oui — source à recontrôler</x:v>
      </x:c>
      <x:c r="X15" s="34" t="str">
        <x:v>Brouillon admin</x:v>
      </x:c>
      <x:c r="Y15" s="34" t="str"/>
    </x:row>
    <x:row r="16" ht="45" customHeight="1">
      <x:c r="A16" s="34" t="str">
        <x:v>secondary-free-seb-2026-07-25</x:v>
      </x:c>
      <x:c r="B16" s="34" t="str">
        <x:v>Free Seb — Journée Delta Zone</x:v>
      </x:c>
      <x:c r="C16" s="34" t="str">
        <x:v>FOA / Fanfan Orga Airsoft x PNJ Airsoft</x:v>
      </x:c>
      <x:c r="D16" s="34" t="str">
        <x:v>organizer_unverified</x:v>
      </x:c>
      <x:c r="E16" s="34" t="str">
        <x:v>secondary</x:v>
      </x:c>
      <x:c r="F16" s="38" t="n">
        <x:v>46228.270833333336</x:v>
      </x:c>
      <x:c r="G16" s="38" t="n">
        <x:v>46228.604166666664</x:v>
      </x:c>
      <x:c r="H16" s="34" t="str">
        <x:v>scenarisee</x:v>
      </x:c>
      <x:c r="I16" s="34" t="str">
        <x:v>mixte</x:v>
      </x:c>
      <x:c r="J16" s="34" t="str">
        <x:v>La Grange le Roi — terrain Delta Zone</x:v>
      </x:c>
      <x:c r="K16" s="34" t="str">
        <x:v>La Grange le Roi</x:v>
      </x:c>
      <x:c r="L16" s="36" t="str">
        <x:v>77166</x:v>
      </x:c>
      <x:c r="M16" s="34" t="str">
        <x:v>Grisy-Suisnes</x:v>
      </x:c>
      <x:c r="N16" s="34" t="str">
        <x:v>77</x:v>
      </x:c>
      <x:c r="O16" s="34" t="str">
        <x:v>locality</x:v>
      </x:c>
      <x:c r="P16" s="34" t="str">
        <x:v>La Grange le Roi, 77166 Grisy-Suisnes</x:v>
      </x:c>
      <x:c r="Q16" s="40" t="n">
        <x:v>20</x:v>
      </x:c>
      <x:c r="R16" s="40" t="n">
        <x:v>22</x:v>
      </x:c>
      <x:c r="S16" s="42" t="n">
        <x:v>40</x:v>
      </x:c>
      <x:c r="T16" s="34" t="str">
        <x:v>Chrony à la bille de jeu ; puissances et distances différenciées selon les catégories de réplique.</x:v>
      </x:c>
      <x:c r="U16" s="34" t="str">
        <x:v>https://www.airsoft-xp.com/parties/free-seb</x:v>
      </x:c>
      <x:c r="V16" s="34" t="str"/>
      <x:c r="W16" s="34" t="str">
        <x:v>Oui — source à recontrôler</x:v>
      </x:c>
      <x:c r="X16" s="34" t="str">
        <x:v>Brouillon admin</x:v>
      </x:c>
      <x:c r="Y16" s="34" t="str"/>
    </x:row>
    <x:row r="17" ht="45" customHeight="1">
      <x:c r="A17" s="34" t="str">
        <x:v>secondary-nocturne-tca-2026-07-25</x:v>
      </x:c>
      <x:c r="B17" s="34" t="str">
        <x:v>Nocturne T-CA</x:v>
      </x:c>
      <x:c r="C17" s="34" t="str">
        <x:v>T-CA</x:v>
      </x:c>
      <x:c r="D17" s="34" t="str">
        <x:v>organizer_unverified</x:v>
      </x:c>
      <x:c r="E17" s="34" t="str">
        <x:v>secondary</x:v>
      </x:c>
      <x:c r="F17" s="38" t="n">
        <x:v>46228.625</x:v>
      </x:c>
      <x:c r="G17" s="38" t="n">
        <x:v>46229.458333333336</x:v>
      </x:c>
      <x:c r="H17" s="34" t="str">
        <x:v>nocturne</x:v>
      </x:c>
      <x:c r="I17" s="34" t="str">
        <x:v>unknown</x:v>
      </x:c>
      <x:c r="J17" s="34" t="str">
        <x:v>Ollières</x:v>
      </x:c>
      <x:c r="K17" s="34" t="str"/>
      <x:c r="L17" s="36" t="str"/>
      <x:c r="M17" s="34" t="str">
        <x:v>Ollières</x:v>
      </x:c>
      <x:c r="N17" s="34" t="str">
        <x:v>83</x:v>
      </x:c>
      <x:c r="O17" s="34" t="str">
        <x:v>city</x:v>
      </x:c>
      <x:c r="P17" s="34" t="str">
        <x:v>Ollières, 83470</x:v>
      </x:c>
      <x:c r="Q17" s="40" t="n">
        <x:v>15</x:v>
      </x:c>
      <x:c r="R17" s="40" t="n">
        <x:v>15</x:v>
      </x:c>
      <x:c r="S17" s="42" t="str"/>
      <x:c r="T17" s="34" t="str"/>
      <x:c r="U17" s="34" t="str">
        <x:v>https://www.airsoft-xp.com/parties/nocturne-t-ca</x:v>
      </x:c>
      <x:c r="V17" s="34" t="str"/>
      <x:c r="W17" s="34" t="str">
        <x:v>Oui — source à recontrôler</x:v>
      </x:c>
      <x:c r="X17" s="34" t="str">
        <x:v>Brouillon admin</x:v>
      </x:c>
      <x:c r="Y17" s="34" t="str"/>
    </x:row>
    <x:row r="18" ht="45" customHeight="1">
      <x:c r="A18" s="34" t="str">
        <x:v>secondary-nocturne-gotam-2026-07-25</x:v>
      </x:c>
      <x:c r="B18" s="34" t="str">
        <x:v>Nocturne GOTAM</x:v>
      </x:c>
      <x:c r="C18" s="34" t="str">
        <x:v>GOTAM</x:v>
      </x:c>
      <x:c r="D18" s="34" t="str">
        <x:v>organizer_unverified</x:v>
      </x:c>
      <x:c r="E18" s="34" t="str">
        <x:v>secondary</x:v>
      </x:c>
      <x:c r="F18" s="38" t="n">
        <x:v>46228.645833333336</x:v>
      </x:c>
      <x:c r="G18" s="38" t="n">
        <x:v>46229</x:v>
      </x:c>
      <x:c r="H18" s="34" t="str">
        <x:v>nocturne</x:v>
      </x:c>
      <x:c r="I18" s="34" t="str">
        <x:v>unknown</x:v>
      </x:c>
      <x:c r="J18" s="34" t="str">
        <x:v>Cuers</x:v>
      </x:c>
      <x:c r="K18" s="34" t="str"/>
      <x:c r="L18" s="36" t="str"/>
      <x:c r="M18" s="34" t="str">
        <x:v>Cuers</x:v>
      </x:c>
      <x:c r="N18" s="34" t="str">
        <x:v>83</x:v>
      </x:c>
      <x:c r="O18" s="34" t="str">
        <x:v>city</x:v>
      </x:c>
      <x:c r="P18" s="34" t="str">
        <x:v>Cuers, 83390</x:v>
      </x:c>
      <x:c r="Q18" s="40" t="n">
        <x:v>10</x:v>
      </x:c>
      <x:c r="R18" s="40" t="n">
        <x:v>10</x:v>
      </x:c>
      <x:c r="S18" s="42" t="str"/>
      <x:c r="T18" s="34" t="str"/>
      <x:c r="U18" s="34" t="str">
        <x:v>https://www.airsoft-xp.com/parties/nocturne-gotam</x:v>
      </x:c>
      <x:c r="V18" s="34" t="str"/>
      <x:c r="W18" s="34" t="str">
        <x:v>Oui — source à recontrôler</x:v>
      </x:c>
      <x:c r="X18" s="34" t="str">
        <x:v>Brouillon admin</x:v>
      </x:c>
      <x:c r="Y18" s="34" t="str"/>
    </x:row>
    <x:row r="19" ht="45" customHeight="1">
      <x:c r="A19" s="34" t="str">
        <x:v>secondary-nocturne-skf-2026-07-25</x:v>
      </x:c>
      <x:c r="B19" s="34" t="str">
        <x:v>Nocturne SKF</x:v>
      </x:c>
      <x:c r="C19" s="34" t="str">
        <x:v>SKF</x:v>
      </x:c>
      <x:c r="D19" s="34" t="str">
        <x:v>organizer_unverified</x:v>
      </x:c>
      <x:c r="E19" s="34" t="str">
        <x:v>secondary</x:v>
      </x:c>
      <x:c r="F19" s="38" t="n">
        <x:v>46228.666666666664</x:v>
      </x:c>
      <x:c r="G19" s="38" t="n">
        <x:v>46229.125</x:v>
      </x:c>
      <x:c r="H19" s="34" t="str">
        <x:v>nocturne</x:v>
      </x:c>
      <x:c r="I19" s="34" t="str">
        <x:v>unknown</x:v>
      </x:c>
      <x:c r="J19" s="34" t="str">
        <x:v>Septèmes-les-Vallons</x:v>
      </x:c>
      <x:c r="K19" s="34" t="str"/>
      <x:c r="L19" s="36" t="str"/>
      <x:c r="M19" s="34" t="str">
        <x:v>Septèmes-les-Vallons</x:v>
      </x:c>
      <x:c r="N19" s="34" t="str">
        <x:v>13</x:v>
      </x:c>
      <x:c r="O19" s="34" t="str">
        <x:v>city</x:v>
      </x:c>
      <x:c r="P19" s="34" t="str">
        <x:v>Septèmes-les-Vallons, 13240</x:v>
      </x:c>
      <x:c r="Q19" s="40" t="n">
        <x:v>10</x:v>
      </x:c>
      <x:c r="R19" s="40" t="n">
        <x:v>10</x:v>
      </x:c>
      <x:c r="S19" s="42" t="str"/>
      <x:c r="T19" s="34" t="str"/>
      <x:c r="U19" s="34" t="str">
        <x:v>https://www.airsoft-xp.com/liste-des-parties</x:v>
      </x:c>
      <x:c r="V19" s="34" t="str"/>
      <x:c r="W19" s="34" t="str">
        <x:v>Oui — source à recontrôler</x:v>
      </x:c>
      <x:c r="X19" s="34" t="str">
        <x:v>Brouillon admin</x:v>
      </x:c>
      <x:c r="Y19" s="34" t="str"/>
    </x:row>
    <x:row r="20" ht="45" customHeight="1">
      <x:c r="A20" s="34" t="str">
        <x:v>secondary-nocturne-berserkers-2026-07-25</x:v>
      </x:c>
      <x:c r="B20" s="34" t="str">
        <x:v>Nocturne Berserkers</x:v>
      </x:c>
      <x:c r="C20" s="34" t="str">
        <x:v>Shadow Compagnie</x:v>
      </x:c>
      <x:c r="D20" s="34" t="str">
        <x:v>organizer_unverified</x:v>
      </x:c>
      <x:c r="E20" s="34" t="str">
        <x:v>secondary</x:v>
      </x:c>
      <x:c r="F20" s="38" t="n">
        <x:v>46228.666666666664</x:v>
      </x:c>
      <x:c r="G20" s="38" t="n">
        <x:v>46229</x:v>
      </x:c>
      <x:c r="H20" s="34" t="str">
        <x:v>nocturne</x:v>
      </x:c>
      <x:c r="I20" s="34" t="str">
        <x:v>unknown</x:v>
      </x:c>
      <x:c r="J20" s="34" t="str">
        <x:v>Chamagnieu</x:v>
      </x:c>
      <x:c r="K20" s="34" t="str"/>
      <x:c r="L20" s="36" t="str"/>
      <x:c r="M20" s="34" t="str">
        <x:v>Chamagnieu</x:v>
      </x:c>
      <x:c r="N20" s="34" t="str">
        <x:v>38</x:v>
      </x:c>
      <x:c r="O20" s="34" t="str">
        <x:v>city</x:v>
      </x:c>
      <x:c r="P20" s="34" t="str">
        <x:v>Chamagnieu, 38460</x:v>
      </x:c>
      <x:c r="Q20" s="40" t="n">
        <x:v>20</x:v>
      </x:c>
      <x:c r="R20" s="40" t="n">
        <x:v>20</x:v>
      </x:c>
      <x:c r="S20" s="42" t="n">
        <x:v>40</x:v>
      </x:c>
      <x:c r="T20" s="34" t="str"/>
      <x:c r="U20" s="34" t="str">
        <x:v>https://www.airsoft-xp.com/liste-des-parties</x:v>
      </x:c>
      <x:c r="V20" s="34" t="str"/>
      <x:c r="W20" s="34" t="str">
        <x:v>Oui — source à recontrôler</x:v>
      </x:c>
      <x:c r="X20" s="34" t="str">
        <x:v>Brouillon admin</x:v>
      </x:c>
      <x:c r="Y20" s="34" t="str"/>
    </x:row>
    <x:row r="21" ht="45" customHeight="1">
      <x:c r="A21" s="34" t="str">
        <x:v>secondary-purge-2026-07-25</x:v>
      </x:c>
      <x:c r="B21" s="34" t="str">
        <x:v>La Purge — nocturne scénarisée</x:v>
      </x:c>
      <x:c r="C21" s="34" t="str">
        <x:v>SOLA</x:v>
      </x:c>
      <x:c r="D21" s="34" t="str">
        <x:v>organizer_unverified</x:v>
      </x:c>
      <x:c r="E21" s="34" t="str">
        <x:v>secondary</x:v>
      </x:c>
      <x:c r="F21" s="38" t="n">
        <x:v>46228.75</x:v>
      </x:c>
      <x:c r="G21" s="38" t="n">
        <x:v>46229</x:v>
      </x:c>
      <x:c r="H21" s="34" t="str">
        <x:v>nocturne_scenarisee</x:v>
      </x:c>
      <x:c r="I21" s="34" t="str">
        <x:v>foret</x:v>
      </x:c>
      <x:c r="J21" s="34" t="str">
        <x:v>Signes</x:v>
      </x:c>
      <x:c r="K21" s="34" t="str"/>
      <x:c r="L21" s="36" t="str"/>
      <x:c r="M21" s="34" t="str">
        <x:v>Signes</x:v>
      </x:c>
      <x:c r="N21" s="34" t="str">
        <x:v>83</x:v>
      </x:c>
      <x:c r="O21" s="34" t="str">
        <x:v>city</x:v>
      </x:c>
      <x:c r="P21" s="34" t="str">
        <x:v>Signes, 83870</x:v>
      </x:c>
      <x:c r="Q21" s="40" t="n">
        <x:v>10</x:v>
      </x:c>
      <x:c r="R21" s="40" t="n">
        <x:v>10</x:v>
      </x:c>
      <x:c r="S21" s="42" t="str"/>
      <x:c r="T21" s="34" t="str">
        <x:v>Billes bio et chrony obligatoires ; fumigènes, alcool et substances illicites interdits selon la fiche source.</x:v>
      </x:c>
      <x:c r="U21" s="34" t="str">
        <x:v>https://www.airsoft-xp.com/parties/la-purge-nocturne-scenarisee</x:v>
      </x:c>
      <x:c r="V21" s="34" t="str"/>
      <x:c r="W21" s="34" t="str">
        <x:v>Oui — source à recontrôler</x:v>
      </x:c>
      <x:c r="X21" s="34" t="str">
        <x:v>Brouillon admin</x:v>
      </x:c>
      <x:c r="Y21" s="34" t="str"/>
    </x:row>
    <x:row r="22" ht="45" customHeight="1">
      <x:c r="A22" s="34" t="str">
        <x:v>secondary-nocturne-3edd-2026-07-25</x:v>
      </x:c>
      <x:c r="B22" s="34" t="str">
        <x:v>Nocturne 3ème EDD</x:v>
      </x:c>
      <x:c r="C22" s="34" t="str">
        <x:v>3ème Escadron de Dragons</x:v>
      </x:c>
      <x:c r="D22" s="34" t="str">
        <x:v>organizer_unverified</x:v>
      </x:c>
      <x:c r="E22" s="34" t="str">
        <x:v>secondary</x:v>
      </x:c>
      <x:c r="F22" s="38" t="n">
        <x:v>46228.833333333336</x:v>
      </x:c>
      <x:c r="G22" s="38" t="n">
        <x:v>46229.208333333336</x:v>
      </x:c>
      <x:c r="H22" s="34" t="str">
        <x:v>nocturne</x:v>
      </x:c>
      <x:c r="I22" s="34" t="str">
        <x:v>unknown</x:v>
      </x:c>
      <x:c r="J22" s="34" t="str">
        <x:v>Joigny</x:v>
      </x:c>
      <x:c r="K22" s="34" t="str"/>
      <x:c r="L22" s="36" t="str"/>
      <x:c r="M22" s="34" t="str">
        <x:v>Joigny</x:v>
      </x:c>
      <x:c r="N22" s="34" t="str">
        <x:v>89</x:v>
      </x:c>
      <x:c r="O22" s="34" t="str">
        <x:v>city</x:v>
      </x:c>
      <x:c r="P22" s="34" t="str">
        <x:v>Joigny, 89300</x:v>
      </x:c>
      <x:c r="Q22" s="40" t="n">
        <x:v>5</x:v>
      </x:c>
      <x:c r="R22" s="40" t="n">
        <x:v>5</x:v>
      </x:c>
      <x:c r="S22" s="42" t="str"/>
      <x:c r="T22" s="34" t="str"/>
      <x:c r="U22" s="34" t="str">
        <x:v>https://www.airsoft-xp.com/liste-des-parties</x:v>
      </x:c>
      <x:c r="V22" s="34" t="str"/>
      <x:c r="W22" s="34" t="str">
        <x:v>Oui — source à recontrôler</x:v>
      </x:c>
      <x:c r="X22" s="34" t="str">
        <x:v>Brouillon admin</x:v>
      </x:c>
      <x:c r="Y22" s="34" t="str"/>
    </x:row>
    <x:row r="23" ht="45" customHeight="1">
      <x:c r="A23" s="34" t="str">
        <x:v>secondary-op-4-couleurs-2026-07-26</x:v>
      </x:c>
      <x:c r="B23" s="34" t="str">
        <x:v>OP 4 couleurs</x:v>
      </x:c>
      <x:c r="C23" s="34" t="str">
        <x:v>Airsoft de la Colline</x:v>
      </x:c>
      <x:c r="D23" s="34" t="str">
        <x:v>organizer_unverified</x:v>
      </x:c>
      <x:c r="E23" s="34" t="str">
        <x:v>secondary</x:v>
      </x:c>
      <x:c r="F23" s="38" t="n">
        <x:v>46229.270833333336</x:v>
      </x:c>
      <x:c r="G23" s="38" t="n">
        <x:v>46229.583333333336</x:v>
      </x:c>
      <x:c r="H23" s="34" t="str">
        <x:v>OP</x:v>
      </x:c>
      <x:c r="I23" s="34" t="str">
        <x:v>unknown</x:v>
      </x:c>
      <x:c r="J23" s="34" t="str">
        <x:v>Saint-Genis-les-Ollières</x:v>
      </x:c>
      <x:c r="K23" s="34" t="str"/>
      <x:c r="L23" s="36" t="str"/>
      <x:c r="M23" s="34" t="str">
        <x:v>Saint-Genis-les-Ollières</x:v>
      </x:c>
      <x:c r="N23" s="34" t="str">
        <x:v>69</x:v>
      </x:c>
      <x:c r="O23" s="34" t="str">
        <x:v>city</x:v>
      </x:c>
      <x:c r="P23" s="34" t="str">
        <x:v>Saint-Genis-les-Ollières, 69290</x:v>
      </x:c>
      <x:c r="Q23" s="40" t="n">
        <x:v>15</x:v>
      </x:c>
      <x:c r="R23" s="40" t="n">
        <x:v>15</x:v>
      </x:c>
      <x:c r="S23" s="42" t="n">
        <x:v>40</x:v>
      </x:c>
      <x:c r="T23" s="34" t="str"/>
      <x:c r="U23" s="34" t="str">
        <x:v>https://www.airsoft-xp.com/liste-des-parties</x:v>
      </x:c>
      <x:c r="V23" s="34" t="str"/>
      <x:c r="W23" s="34" t="str">
        <x:v>Oui — source à recontrôler</x:v>
      </x:c>
      <x:c r="X23" s="34" t="str">
        <x:v>Brouillon admin</x:v>
      </x:c>
      <x:c r="Y23" s="34" t="str"/>
    </x:row>
    <x:row r="24" ht="45" customHeight="1">
      <x:c r="A24" s="34" t="str">
        <x:v>secondary-sentinelles-2026-07-26</x:v>
      </x:c>
      <x:c r="B24" s="34" t="str">
        <x:v>Dominicale des Sentinelles</x:v>
      </x:c>
      <x:c r="C24" s="34" t="str">
        <x:v>Les Sentinelles 192</x:v>
      </x:c>
      <x:c r="D24" s="34" t="str">
        <x:v>organizer_unverified</x:v>
      </x:c>
      <x:c r="E24" s="34" t="str">
        <x:v>secondary</x:v>
      </x:c>
      <x:c r="F24" s="38" t="n">
        <x:v>46229.270833333336</x:v>
      </x:c>
      <x:c r="G24" s="38" t="n">
        <x:v>46229.625</x:v>
      </x:c>
      <x:c r="H24" s="34" t="str">
        <x:v>dominicale</x:v>
      </x:c>
      <x:c r="I24" s="34" t="str">
        <x:v>unknown</x:v>
      </x:c>
      <x:c r="J24" s="34" t="str">
        <x:v>Vieux-Condé</x:v>
      </x:c>
      <x:c r="K24" s="34" t="str"/>
      <x:c r="L24" s="36" t="str"/>
      <x:c r="M24" s="34" t="str">
        <x:v>Vieux-Condé</x:v>
      </x:c>
      <x:c r="N24" s="34" t="str">
        <x:v>59</x:v>
      </x:c>
      <x:c r="O24" s="34" t="str">
        <x:v>city</x:v>
      </x:c>
      <x:c r="P24" s="34" t="str">
        <x:v>Vieux-Condé, 59690</x:v>
      </x:c>
      <x:c r="Q24" s="40" t="n">
        <x:v>10</x:v>
      </x:c>
      <x:c r="R24" s="40" t="n">
        <x:v>10</x:v>
      </x:c>
      <x:c r="S24" s="42" t="n">
        <x:v>52</x:v>
      </x:c>
      <x:c r="T24" s="34" t="str"/>
      <x:c r="U24" s="34" t="str">
        <x:v>https://www.airsoft-xp.com/liste-des-parties</x:v>
      </x:c>
      <x:c r="V24" s="34" t="str"/>
      <x:c r="W24" s="34" t="str">
        <x:v>Oui — source à recontrôler</x:v>
      </x:c>
      <x:c r="X24" s="34" t="str">
        <x:v>Brouillon admin</x:v>
      </x:c>
      <x:c r="Y24" s="34" t="str"/>
    </x:row>
    <x:row r="25" ht="45" customHeight="1">
      <x:c r="A25" s="34" t="str">
        <x:v>secondary-mercurow-2026-07-26</x:v>
      </x:c>
      <x:c r="B25" s="34" t="str">
        <x:v>Partie Mercurow</x:v>
      </x:c>
      <x:c r="C25" s="34" t="str">
        <x:v>AMA France</x:v>
      </x:c>
      <x:c r="D25" s="34" t="str">
        <x:v>organizer_unverified</x:v>
      </x:c>
      <x:c r="E25" s="34" t="str">
        <x:v>secondary</x:v>
      </x:c>
      <x:c r="F25" s="38" t="n">
        <x:v>46229.270833333336</x:v>
      </x:c>
      <x:c r="G25" s="38" t="n">
        <x:v>46229.625</x:v>
      </x:c>
      <x:c r="H25" s="34" t="str">
        <x:v>dominicale</x:v>
      </x:c>
      <x:c r="I25" s="34" t="str">
        <x:v>unknown</x:v>
      </x:c>
      <x:c r="J25" s="34" t="str">
        <x:v>Meulan-en-Yvelines</x:v>
      </x:c>
      <x:c r="K25" s="34" t="str"/>
      <x:c r="L25" s="36" t="str"/>
      <x:c r="M25" s="34" t="str">
        <x:v>Meulan-en-Yvelines</x:v>
      </x:c>
      <x:c r="N25" s="34" t="str">
        <x:v>78</x:v>
      </x:c>
      <x:c r="O25" s="34" t="str">
        <x:v>city</x:v>
      </x:c>
      <x:c r="P25" s="34" t="str">
        <x:v>Meulan-en-Yvelines, 78250</x:v>
      </x:c>
      <x:c r="Q25" s="40" t="n">
        <x:v>25</x:v>
      </x:c>
      <x:c r="R25" s="40" t="n">
        <x:v>25</x:v>
      </x:c>
      <x:c r="S25" s="42" t="str"/>
      <x:c r="T25" s="34" t="str"/>
      <x:c r="U25" s="34" t="str">
        <x:v>https://www.airsoft-xp.com/liste-des-parties</x:v>
      </x:c>
      <x:c r="V25" s="34" t="str"/>
      <x:c r="W25" s="34" t="str">
        <x:v>Oui — source à recontrôler</x:v>
      </x:c>
      <x:c r="X25" s="34" t="str">
        <x:v>Brouillon admin</x:v>
      </x:c>
      <x:c r="Y25" s="34" t="str"/>
    </x:row>
    <x:row r="26" ht="45" customHeight="1">
      <x:c r="A26" s="34" t="str">
        <x:v>secondary-edd-multi-2026-07-26</x:v>
      </x:c>
      <x:c r="B26" s="34" t="str">
        <x:v>OP multi scénarios</x:v>
      </x:c>
      <x:c r="C26" s="34" t="str">
        <x:v>EDD</x:v>
      </x:c>
      <x:c r="D26" s="34" t="str">
        <x:v>organizer_unverified</x:v>
      </x:c>
      <x:c r="E26" s="34" t="str">
        <x:v>secondary</x:v>
      </x:c>
      <x:c r="F26" s="38" t="n">
        <x:v>46229.270833333336</x:v>
      </x:c>
      <x:c r="G26" s="38" t="n">
        <x:v>46229.645833333336</x:v>
      </x:c>
      <x:c r="H26" s="34" t="str">
        <x:v>OP</x:v>
      </x:c>
      <x:c r="I26" s="34" t="str">
        <x:v>unknown</x:v>
      </x:c>
      <x:c r="J26" s="34" t="str">
        <x:v>Jardin</x:v>
      </x:c>
      <x:c r="K26" s="34" t="str"/>
      <x:c r="L26" s="36" t="str"/>
      <x:c r="M26" s="34" t="str">
        <x:v>Jardin</x:v>
      </x:c>
      <x:c r="N26" s="34" t="str">
        <x:v>38</x:v>
      </x:c>
      <x:c r="O26" s="34" t="str">
        <x:v>city</x:v>
      </x:c>
      <x:c r="P26" s="34" t="str">
        <x:v>Jardin, 38200</x:v>
      </x:c>
      <x:c r="Q26" s="40" t="n">
        <x:v>5</x:v>
      </x:c>
      <x:c r="R26" s="40" t="n">
        <x:v>5</x:v>
      </x:c>
      <x:c r="S26" s="42" t="n">
        <x:v>40</x:v>
      </x:c>
      <x:c r="T26" s="34" t="str"/>
      <x:c r="U26" s="34" t="str">
        <x:v>https://www.airsoft-xp.com/liste-des-parties</x:v>
      </x:c>
      <x:c r="V26" s="34" t="str"/>
      <x:c r="W26" s="34" t="str">
        <x:v>Oui — source à recontrôler</x:v>
      </x:c>
      <x:c r="X26" s="34" t="str">
        <x:v>Brouillon admin</x:v>
      </x:c>
      <x:c r="Y26" s="34" t="str"/>
    </x:row>
    <x:row r="27" ht="45" customHeight="1">
      <x:c r="A27" s="34" t="str">
        <x:v>secondary-phoenix-2026-07-26</x:v>
      </x:c>
      <x:c r="B27" s="34" t="str">
        <x:v>Dominicale Phoenix</x:v>
      </x:c>
      <x:c r="C27" s="34" t="str">
        <x:v>Phoenix Airsoft 38</x:v>
      </x:c>
      <x:c r="D27" s="34" t="str">
        <x:v>organizer_unverified</x:v>
      </x:c>
      <x:c r="E27" s="34" t="str">
        <x:v>secondary</x:v>
      </x:c>
      <x:c r="F27" s="38" t="n">
        <x:v>46229.270833333336</x:v>
      </x:c>
      <x:c r="G27" s="38" t="n">
        <x:v>46229.625</x:v>
      </x:c>
      <x:c r="H27" s="34" t="str">
        <x:v>dominicale</x:v>
      </x:c>
      <x:c r="I27" s="34" t="str">
        <x:v>unknown</x:v>
      </x:c>
      <x:c r="J27" s="34" t="str">
        <x:v>Saint-Bonnet-de-Chavagne</x:v>
      </x:c>
      <x:c r="K27" s="34" t="str"/>
      <x:c r="L27" s="36" t="str"/>
      <x:c r="M27" s="34" t="str">
        <x:v>Saint-Bonnet-de-Chavagne</x:v>
      </x:c>
      <x:c r="N27" s="34" t="str">
        <x:v>38</x:v>
      </x:c>
      <x:c r="O27" s="34" t="str">
        <x:v>city</x:v>
      </x:c>
      <x:c r="P27" s="34" t="str">
        <x:v>Saint-Bonnet-de-Chavagne, 38840</x:v>
      </x:c>
      <x:c r="Q27" s="40" t="n">
        <x:v>10</x:v>
      </x:c>
      <x:c r="R27" s="40" t="n">
        <x:v>10</x:v>
      </x:c>
      <x:c r="S27" s="42" t="n">
        <x:v>40</x:v>
      </x:c>
      <x:c r="T27" s="34" t="str"/>
      <x:c r="U27" s="34" t="str">
        <x:v>https://www.airsoft-xp.com/liste-des-parties</x:v>
      </x:c>
      <x:c r="V27" s="34" t="str"/>
      <x:c r="W27" s="34" t="str">
        <x:v>Oui — source à recontrôler</x:v>
      </x:c>
      <x:c r="X27" s="34" t="str">
        <x:v>Brouillon admin</x:v>
      </x:c>
      <x:c r="Y27" s="34" t="str"/>
    </x:row>
    <x:row r="28" ht="45" customHeight="1">
      <x:c r="A28" s="34" t="str">
        <x:v>secondary-gis27-2026-07-26</x:v>
      </x:c>
      <x:c r="B28" s="34" t="str">
        <x:v>Dominicale GIS27</x:v>
      </x:c>
      <x:c r="C28" s="34" t="str">
        <x:v>GIS 27</x:v>
      </x:c>
      <x:c r="D28" s="34" t="str">
        <x:v>organizer_unverified</x:v>
      </x:c>
      <x:c r="E28" s="34" t="str">
        <x:v>secondary</x:v>
      </x:c>
      <x:c r="F28" s="38" t="n">
        <x:v>46229.270833333336</x:v>
      </x:c>
      <x:c r="G28" s="38" t="n">
        <x:v>46229.604166666664</x:v>
      </x:c>
      <x:c r="H28" s="34" t="str">
        <x:v>dominicale</x:v>
      </x:c>
      <x:c r="I28" s="34" t="str">
        <x:v>unknown</x:v>
      </x:c>
      <x:c r="J28" s="34" t="str">
        <x:v>Gisors</x:v>
      </x:c>
      <x:c r="K28" s="34" t="str"/>
      <x:c r="L28" s="36" t="str"/>
      <x:c r="M28" s="34" t="str">
        <x:v>Gisors</x:v>
      </x:c>
      <x:c r="N28" s="34" t="str">
        <x:v>27</x:v>
      </x:c>
      <x:c r="O28" s="34" t="str">
        <x:v>city</x:v>
      </x:c>
      <x:c r="P28" s="34" t="str">
        <x:v>Gisors, 27140</x:v>
      </x:c>
      <x:c r="Q28" s="40" t="n">
        <x:v>10</x:v>
      </x:c>
      <x:c r="R28" s="40" t="n">
        <x:v>10</x:v>
      </x:c>
      <x:c r="S28" s="42" t="n">
        <x:v>30</x:v>
      </x:c>
      <x:c r="T28" s="34" t="str"/>
      <x:c r="U28" s="34" t="str">
        <x:v>https://www.airsoft-xp.com/liste-des-parties</x:v>
      </x:c>
      <x:c r="V28" s="34" t="str"/>
      <x:c r="W28" s="34" t="str">
        <x:v>Oui — source à recontrôler</x:v>
      </x:c>
      <x:c r="X28" s="34" t="str">
        <x:v>Brouillon admin</x:v>
      </x:c>
      <x:c r="Y28" s="34" t="str"/>
    </x:row>
    <x:row r="29" ht="45" customHeight="1">
      <x:c r="A29" s="34" t="str">
        <x:v>secondary-grande-champagne-2026-07-26</x:v>
      </x:c>
      <x:c r="B29" s="34" t="str">
        <x:v>Partie détente</x:v>
      </x:c>
      <x:c r="C29" s="34" t="str">
        <x:v>Airsofteurs de Grande Champagne</x:v>
      </x:c>
      <x:c r="D29" s="34" t="str">
        <x:v>organizer_unverified</x:v>
      </x:c>
      <x:c r="E29" s="34" t="str">
        <x:v>secondary</x:v>
      </x:c>
      <x:c r="F29" s="38" t="n">
        <x:v>46229.291666666664</x:v>
      </x:c>
      <x:c r="G29" s="38" t="n">
        <x:v>46229.625</x:v>
      </x:c>
      <x:c r="H29" s="34" t="str">
        <x:v>dominicale</x:v>
      </x:c>
      <x:c r="I29" s="34" t="str">
        <x:v>unknown</x:v>
      </x:c>
      <x:c r="J29" s="34" t="str">
        <x:v>Saint-Preuil</x:v>
      </x:c>
      <x:c r="K29" s="34" t="str"/>
      <x:c r="L29" s="36" t="str"/>
      <x:c r="M29" s="34" t="str">
        <x:v>Saint-Preuil</x:v>
      </x:c>
      <x:c r="N29" s="34" t="str">
        <x:v>16</x:v>
      </x:c>
      <x:c r="O29" s="34" t="str">
        <x:v>city</x:v>
      </x:c>
      <x:c r="P29" s="34" t="str">
        <x:v>Saint-Preuil, 16130</x:v>
      </x:c>
      <x:c r="Q29" s="40" t="n">
        <x:v>5</x:v>
      </x:c>
      <x:c r="R29" s="40" t="n">
        <x:v>5</x:v>
      </x:c>
      <x:c r="S29" s="42" t="str"/>
      <x:c r="T29" s="34" t="str"/>
      <x:c r="U29" s="34" t="str">
        <x:v>https://www.airsoft-xp.com/liste-des-parties</x:v>
      </x:c>
      <x:c r="V29" s="34" t="str"/>
      <x:c r="W29" s="34" t="str">
        <x:v>Oui — source à recontrôler</x:v>
      </x:c>
      <x:c r="X29" s="34" t="str">
        <x:v>Brouillon admin</x:v>
      </x:c>
      <x:c r="Y29" s="34" t="str"/>
    </x:row>
    <x:row r="30" ht="45" customHeight="1">
      <x:c r="A30" s="34" t="str">
        <x:v>secondary-black-day-2026-07-26</x:v>
      </x:c>
      <x:c r="B30" s="34" t="str">
        <x:v>Black Day</x:v>
      </x:c>
      <x:c r="C30" s="34" t="str">
        <x:v>Wolf Custom Airsoft</x:v>
      </x:c>
      <x:c r="D30" s="34" t="str">
        <x:v>organizer_unverified</x:v>
      </x:c>
      <x:c r="E30" s="34" t="str">
        <x:v>secondary</x:v>
      </x:c>
      <x:c r="F30" s="38" t="n">
        <x:v>46229.291666666664</x:v>
      </x:c>
      <x:c r="G30" s="38" t="n">
        <x:v>46229.625</x:v>
      </x:c>
      <x:c r="H30" s="34" t="str">
        <x:v>dominicale</x:v>
      </x:c>
      <x:c r="I30" s="34" t="str">
        <x:v>unknown</x:v>
      </x:c>
      <x:c r="J30" s="34" t="str">
        <x:v>Sennecey-le-Grand</x:v>
      </x:c>
      <x:c r="K30" s="34" t="str"/>
      <x:c r="L30" s="36" t="str"/>
      <x:c r="M30" s="34" t="str">
        <x:v>Sennecey-le-Grand</x:v>
      </x:c>
      <x:c r="N30" s="34" t="str">
        <x:v>71</x:v>
      </x:c>
      <x:c r="O30" s="34" t="str">
        <x:v>city</x:v>
      </x:c>
      <x:c r="P30" s="34" t="str">
        <x:v>Sennecey-le-Grand, 71240</x:v>
      </x:c>
      <x:c r="Q30" s="40" t="n">
        <x:v>17</x:v>
      </x:c>
      <x:c r="R30" s="40" t="n">
        <x:v>17</x:v>
      </x:c>
      <x:c r="S30" s="42" t="n">
        <x:v>50</x:v>
      </x:c>
      <x:c r="T30" s="34" t="str"/>
      <x:c r="U30" s="34" t="str">
        <x:v>https://www.airsoft-xp.com/liste-des-parties</x:v>
      </x:c>
      <x:c r="V30" s="34" t="str"/>
      <x:c r="W30" s="34" t="str">
        <x:v>Oui — source à recontrôler</x:v>
      </x:c>
      <x:c r="X30" s="34" t="str">
        <x:v>Brouillon admin</x:v>
      </x:c>
      <x:c r="Y30" s="34" t="str"/>
    </x:row>
    <x:row r="31" ht="45" customHeight="1">
      <x:c r="A31" s="34" t="str">
        <x:v>secondary-airsoft-silo-2026-07-26</x:v>
      </x:c>
      <x:c r="B31" s="34" t="str">
        <x:v>Airsoft Silo</x:v>
      </x:c>
      <x:c r="C31" s="34" t="str">
        <x:v>Alpha Unit</x:v>
      </x:c>
      <x:c r="D31" s="34" t="str">
        <x:v>organizer_unverified</x:v>
      </x:c>
      <x:c r="E31" s="34" t="str">
        <x:v>secondary</x:v>
      </x:c>
      <x:c r="F31" s="38" t="n">
        <x:v>46229.291666666664</x:v>
      </x:c>
      <x:c r="G31" s="38" t="n">
        <x:v>46229.583333333336</x:v>
      </x:c>
      <x:c r="H31" s="34" t="str">
        <x:v>dominicale</x:v>
      </x:c>
      <x:c r="I31" s="34" t="str">
        <x:v>unknown</x:v>
      </x:c>
      <x:c r="J31" s="34" t="str">
        <x:v>Mouy</x:v>
      </x:c>
      <x:c r="K31" s="34" t="str"/>
      <x:c r="L31" s="36" t="str"/>
      <x:c r="M31" s="34" t="str">
        <x:v>Mouy</x:v>
      </x:c>
      <x:c r="N31" s="34" t="str">
        <x:v>60</x:v>
      </x:c>
      <x:c r="O31" s="34" t="str">
        <x:v>city</x:v>
      </x:c>
      <x:c r="P31" s="34" t="str">
        <x:v>Mouy, 60250</x:v>
      </x:c>
      <x:c r="Q31" s="40" t="n">
        <x:v>20</x:v>
      </x:c>
      <x:c r="R31" s="40" t="n">
        <x:v>20</x:v>
      </x:c>
      <x:c r="S31" s="42" t="n">
        <x:v>60</x:v>
      </x:c>
      <x:c r="T31" s="34" t="str"/>
      <x:c r="U31" s="34" t="str">
        <x:v>https://www.airsoft-xp.com/liste-des-parties</x:v>
      </x:c>
      <x:c r="V31" s="34" t="str"/>
      <x:c r="W31" s="34" t="str">
        <x:v>Oui — source à recontrôler</x:v>
      </x:c>
      <x:c r="X31" s="34" t="str">
        <x:v>Brouillon admin</x:v>
      </x:c>
      <x:c r="Y31" s="34" t="str"/>
    </x:row>
    <x:row r="32" ht="45" customHeight="1">
      <x:c r="A32" s="34" t="str">
        <x:v>secondary-gfca-2026-07-26</x:v>
      </x:c>
      <x:c r="B32" s="34" t="str">
        <x:v>Partie GFCA</x:v>
      </x:c>
      <x:c r="C32" s="34" t="str">
        <x:v>GFCA</x:v>
      </x:c>
      <x:c r="D32" s="34" t="str">
        <x:v>organizer_unverified</x:v>
      </x:c>
      <x:c r="E32" s="34" t="str">
        <x:v>secondary</x:v>
      </x:c>
      <x:c r="F32" s="38" t="n">
        <x:v>46229.291666666664</x:v>
      </x:c>
      <x:c r="G32" s="38" t="n">
        <x:v>46229.625</x:v>
      </x:c>
      <x:c r="H32" s="34" t="str">
        <x:v>dominicale</x:v>
      </x:c>
      <x:c r="I32" s="34" t="str">
        <x:v>unknown</x:v>
      </x:c>
      <x:c r="J32" s="34" t="str">
        <x:v>Fruges</x:v>
      </x:c>
      <x:c r="K32" s="34" t="str"/>
      <x:c r="L32" s="36" t="str"/>
      <x:c r="M32" s="34" t="str">
        <x:v>Fruges</x:v>
      </x:c>
      <x:c r="N32" s="34" t="str">
        <x:v>62</x:v>
      </x:c>
      <x:c r="O32" s="34" t="str">
        <x:v>city</x:v>
      </x:c>
      <x:c r="P32" s="34" t="str">
        <x:v>Fruges, 62310</x:v>
      </x:c>
      <x:c r="Q32" s="40" t="n">
        <x:v>10</x:v>
      </x:c>
      <x:c r="R32" s="40" t="n">
        <x:v>10</x:v>
      </x:c>
      <x:c r="S32" s="42" t="str"/>
      <x:c r="T32" s="34" t="str"/>
      <x:c r="U32" s="34" t="str">
        <x:v>https://www.airsoft-xp.com/liste-des-parties</x:v>
      </x:c>
      <x:c r="V32" s="34" t="str"/>
      <x:c r="W32" s="34" t="str">
        <x:v>Oui — source à recontrôler</x:v>
      </x:c>
      <x:c r="X32" s="34" t="str">
        <x:v>Brouillon admin</x:v>
      </x:c>
      <x:c r="Y32" s="34" t="str"/>
    </x:row>
    <x:row r="33" ht="45" customHeight="1">
      <x:c r="A33" s="34" t="str">
        <x:v>secondary-dominicale-berserkers-2026-07-26</x:v>
      </x:c>
      <x:c r="B33" s="34" t="str">
        <x:v>Dominicale Berserkers</x:v>
      </x:c>
      <x:c r="C33" s="34" t="str">
        <x:v>Shadow Compagnie</x:v>
      </x:c>
      <x:c r="D33" s="34" t="str">
        <x:v>organizer_unverified</x:v>
      </x:c>
      <x:c r="E33" s="34" t="str">
        <x:v>secondary</x:v>
      </x:c>
      <x:c r="F33" s="38" t="n">
        <x:v>46229.25</x:v>
      </x:c>
      <x:c r="G33" s="38" t="n">
        <x:v>46229.625</x:v>
      </x:c>
      <x:c r="H33" s="34" t="str">
        <x:v>dominicale</x:v>
      </x:c>
      <x:c r="I33" s="34" t="str">
        <x:v>unknown</x:v>
      </x:c>
      <x:c r="J33" s="34" t="str">
        <x:v>Chamagnieu</x:v>
      </x:c>
      <x:c r="K33" s="34" t="str"/>
      <x:c r="L33" s="36" t="str"/>
      <x:c r="M33" s="34" t="str">
        <x:v>Chamagnieu</x:v>
      </x:c>
      <x:c r="N33" s="34" t="str">
        <x:v>38</x:v>
      </x:c>
      <x:c r="O33" s="34" t="str">
        <x:v>city</x:v>
      </x:c>
      <x:c r="P33" s="34" t="str">
        <x:v>Chamagnieu, 38460</x:v>
      </x:c>
      <x:c r="Q33" s="40" t="n">
        <x:v>20</x:v>
      </x:c>
      <x:c r="R33" s="40" t="n">
        <x:v>20</x:v>
      </x:c>
      <x:c r="S33" s="42" t="n">
        <x:v>60</x:v>
      </x:c>
      <x:c r="T33" s="34" t="str"/>
      <x:c r="U33" s="34" t="str">
        <x:v>https://www.airsoft-xp.com/liste-des-parties</x:v>
      </x:c>
      <x:c r="V33" s="34" t="str"/>
      <x:c r="W33" s="34" t="str">
        <x:v>Oui — source à recontrôler</x:v>
      </x:c>
      <x:c r="X33" s="34" t="str">
        <x:v>Brouillon admin</x:v>
      </x:c>
      <x:c r="Y33" s="34" t="str"/>
    </x:row>
    <x:row r="34" ht="45" customHeight="1">
      <x:c r="A34" s="34" t="str">
        <x:v>secondary-red-springs-2026-07-26</x:v>
      </x:c>
      <x:c r="B34" s="34" t="str">
        <x:v>Dominicale Red Springs</x:v>
      </x:c>
      <x:c r="C34" s="34" t="str">
        <x:v>Red Springs 24</x:v>
      </x:c>
      <x:c r="D34" s="34" t="str">
        <x:v>organizer_unverified</x:v>
      </x:c>
      <x:c r="E34" s="34" t="str">
        <x:v>secondary</x:v>
      </x:c>
      <x:c r="F34" s="38" t="n">
        <x:v>46229.25</x:v>
      </x:c>
      <x:c r="G34" s="38" t="n">
        <x:v>46229.583333333336</x:v>
      </x:c>
      <x:c r="H34" s="34" t="str">
        <x:v>dominicale</x:v>
      </x:c>
      <x:c r="I34" s="34" t="str">
        <x:v>unknown</x:v>
      </x:c>
      <x:c r="J34" s="34" t="str">
        <x:v>Campsegret</x:v>
      </x:c>
      <x:c r="K34" s="34" t="str"/>
      <x:c r="L34" s="36" t="str"/>
      <x:c r="M34" s="34" t="str">
        <x:v>Campsegret</x:v>
      </x:c>
      <x:c r="N34" s="34" t="str">
        <x:v>24</x:v>
      </x:c>
      <x:c r="O34" s="34" t="str">
        <x:v>city</x:v>
      </x:c>
      <x:c r="P34" s="34" t="str">
        <x:v>Campsegret, 24140</x:v>
      </x:c>
      <x:c r="Q34" s="40" t="n">
        <x:v>10</x:v>
      </x:c>
      <x:c r="R34" s="40" t="n">
        <x:v>10</x:v>
      </x:c>
      <x:c r="S34" s="42" t="str"/>
      <x:c r="T34" s="34" t="str"/>
      <x:c r="U34" s="34" t="str">
        <x:v>https://www.airsoft-xp.com/liste-des-parties</x:v>
      </x:c>
      <x:c r="V34" s="34" t="str"/>
      <x:c r="W34" s="34" t="str">
        <x:v>Oui — source à recontrôler</x:v>
      </x:c>
      <x:c r="X34" s="34" t="str">
        <x:v>Brouillon admin</x:v>
      </x:c>
      <x:c r="Y34" s="34" t="str"/>
    </x:row>
    <x:row r="35" ht="45" customHeight="1">
      <x:c r="A35" s="34" t="str">
        <x:v>secondary-foa-max2j-2026-08-02</x:v>
      </x:c>
      <x:c r="B35" s="34" t="str">
        <x:v>Partie Max 2 joules</x:v>
      </x:c>
      <x:c r="C35" s="34" t="str">
        <x:v>FOA</x:v>
      </x:c>
      <x:c r="D35" s="34" t="str">
        <x:v>organizer_unverified</x:v>
      </x:c>
      <x:c r="E35" s="34" t="str">
        <x:v>secondary</x:v>
      </x:c>
      <x:c r="F35" s="38" t="n">
        <x:v>46236.270833333336</x:v>
      </x:c>
      <x:c r="G35" s="38" t="n">
        <x:v>46236.604166666664</x:v>
      </x:c>
      <x:c r="H35" s="34" t="str">
        <x:v>dominicale</x:v>
      </x:c>
      <x:c r="I35" s="34" t="str">
        <x:v>unknown</x:v>
      </x:c>
      <x:c r="J35" s="34" t="str">
        <x:v>Sainte-Mesme</x:v>
      </x:c>
      <x:c r="K35" s="34" t="str"/>
      <x:c r="L35" s="36" t="str"/>
      <x:c r="M35" s="34" t="str">
        <x:v>Sainte-Mesme</x:v>
      </x:c>
      <x:c r="N35" s="34" t="str">
        <x:v>78</x:v>
      </x:c>
      <x:c r="O35" s="34" t="str">
        <x:v>city</x:v>
      </x:c>
      <x:c r="P35" s="34" t="str">
        <x:v>Sainte-Mesme, 78730</x:v>
      </x:c>
      <x:c r="Q35" s="40" t="n">
        <x:v>18</x:v>
      </x:c>
      <x:c r="R35" s="40" t="n">
        <x:v>18</x:v>
      </x:c>
      <x:c r="S35" s="42" t="n">
        <x:v>40</x:v>
      </x:c>
      <x:c r="T35" s="34" t="str">
        <x:v>Le titre annonce un plafond de 2 J ; ne pas en déduire les distances ou catégories sans règlement source.</x:v>
      </x:c>
      <x:c r="U35" s="34" t="str">
        <x:v>https://www.airsoft-xp.com/liste-des-parties</x:v>
      </x:c>
      <x:c r="V35" s="34" t="str"/>
      <x:c r="W35" s="34" t="str">
        <x:v>Oui — source à recontrôler</x:v>
      </x:c>
      <x:c r="X35" s="34" t="str">
        <x:v>Brouillon admin</x:v>
      </x:c>
      <x:c r="Y35" s="34" t="str"/>
    </x:row>
    <x:row r="36" ht="45" customHeight="1">
      <x:c r="A36" s="34" t="str">
        <x:v>secondary-raven-baron-2026-08-08</x:v>
      </x:c>
      <x:c r="B36" s="34" t="str">
        <x:v>Narco — La chute du Baron</x:v>
      </x:c>
      <x:c r="C36" s="34" t="str">
        <x:v>Raven Airsoft</x:v>
      </x:c>
      <x:c r="D36" s="34" t="str">
        <x:v>organizer_unverified</x:v>
      </x:c>
      <x:c r="E36" s="34" t="str">
        <x:v>secondary</x:v>
      </x:c>
      <x:c r="F36" s="38" t="n">
        <x:v>46242.541666666664</x:v>
      </x:c>
      <x:c r="G36" s="38" t="n">
        <x:v>46243.041666666664</x:v>
      </x:c>
      <x:c r="H36" s="34" t="str">
        <x:v>semi_nocturne_scenarisee</x:v>
      </x:c>
      <x:c r="I36" s="34" t="str">
        <x:v>mixte</x:v>
      </x:c>
      <x:c r="J36" s="34" t="str">
        <x:v>Terrain Raven Airsoft</x:v>
      </x:c>
      <x:c r="K36" s="34" t="str">
        <x:v>120 Rue Noord Straete</x:v>
      </x:c>
      <x:c r="L36" s="36" t="str">
        <x:v>59670</x:v>
      </x:c>
      <x:c r="M36" s="34" t="str">
        <x:v>Zuytpeene</x:v>
      </x:c>
      <x:c r="N36" s="34" t="str">
        <x:v>59</x:v>
      </x:c>
      <x:c r="O36" s="34" t="str">
        <x:v>street</x:v>
      </x:c>
      <x:c r="P36" s="34" t="str">
        <x:v>120 Rue Noord Straete, 59670 Zuytpeene</x:v>
      </x:c>
      <x:c r="Q36" s="40" t="n">
        <x:v>40</x:v>
      </x:c>
      <x:c r="R36" s="40" t="n">
        <x:v>40</x:v>
      </x:c>
      <x:c r="S36" s="42" t="str"/>
      <x:c r="T36" s="34" t="str">
        <x:v>Interdit aux mineurs ; lampe et chaussures adaptées demandées ; repas annoncé inclus.</x:v>
      </x:c>
      <x:c r="U36" s="34" t="str">
        <x:v>https://www.airsoft-xp.com/parties/la-chute-du-baron</x:v>
      </x:c>
      <x:c r="V36" s="34" t="str"/>
      <x:c r="W36" s="34" t="str">
        <x:v>Oui — source à recontrôler</x:v>
      </x:c>
      <x:c r="X36" s="34" t="str">
        <x:v>Brouillon admin</x:v>
      </x:c>
      <x:c r="Y36" s="34" t="str"/>
    </x:row>
    <x:row r="37" ht="45" customHeight="1">
      <x:c r="A37" s="34" t="str">
        <x:v>secondary-dark-launch-2026-08-22</x:v>
      </x:c>
      <x:c r="B37" s="34" t="str">
        <x:v>Opération Dark Launch</x:v>
      </x:c>
      <x:c r="C37" s="34" t="str">
        <x:v>The Wild Hunt 41</x:v>
      </x:c>
      <x:c r="D37" s="34" t="str">
        <x:v>organizer_unverified</x:v>
      </x:c>
      <x:c r="E37" s="34" t="str">
        <x:v>secondary</x:v>
      </x:c>
      <x:c r="F37" s="38" t="n">
        <x:v>46256.625</x:v>
      </x:c>
      <x:c r="G37" s="38" t="n">
        <x:v>46257.270833333336</x:v>
      </x:c>
      <x:c r="H37" s="34" t="str">
        <x:v>OP_nocturne</x:v>
      </x:c>
      <x:c r="I37" s="34" t="str">
        <x:v>unknown</x:v>
      </x:c>
      <x:c r="J37" s="34" t="str">
        <x:v>Villefranche-sur-Cher</x:v>
      </x:c>
      <x:c r="K37" s="34" t="str"/>
      <x:c r="L37" s="36" t="str"/>
      <x:c r="M37" s="34" t="str">
        <x:v>Villefranche-sur-Cher</x:v>
      </x:c>
      <x:c r="N37" s="34" t="str">
        <x:v>41</x:v>
      </x:c>
      <x:c r="O37" s="34" t="str">
        <x:v>city</x:v>
      </x:c>
      <x:c r="P37" s="34" t="str">
        <x:v>Villefranche-sur-Cher, 41200</x:v>
      </x:c>
      <x:c r="Q37" s="40" t="n">
        <x:v>30</x:v>
      </x:c>
      <x:c r="R37" s="40" t="n">
        <x:v>30</x:v>
      </x:c>
      <x:c r="S37" s="42" t="str"/>
      <x:c r="T37" s="34" t="str"/>
      <x:c r="U37" s="34" t="str">
        <x:v>https://www.airsoft-xp.com/liste-des-parties</x:v>
      </x:c>
      <x:c r="V37" s="34" t="str"/>
      <x:c r="W37" s="34" t="str">
        <x:v>Oui — source à recontrôler</x:v>
      </x:c>
      <x:c r="X37" s="34" t="str">
        <x:v>Brouillon admin</x:v>
      </x:c>
      <x:c r="Y37" s="34" t="str"/>
    </x:row>
    <x:row r="38" ht="45" customHeight="1">
      <x:c r="A38" s="34" t="str">
        <x:v>secondary-big-game-psv-2026-09-05</x:v>
      </x:c>
      <x:c r="B38" s="34" t="str">
        <x:v>Big Game à PSV</x:v>
      </x:c>
      <x:c r="C38" s="34" t="str">
        <x:v>Forest Game Aventure</x:v>
      </x:c>
      <x:c r="D38" s="34" t="str">
        <x:v>organizer_unverified</x:v>
      </x:c>
      <x:c r="E38" s="34" t="str">
        <x:v>secondary</x:v>
      </x:c>
      <x:c r="F38" s="38" t="n">
        <x:v>46270.270833333336</x:v>
      </x:c>
      <x:c r="G38" s="38" t="n">
        <x:v>46270.791666666664</x:v>
      </x:c>
      <x:c r="H38" s="34" t="str">
        <x:v>big_game</x:v>
      </x:c>
      <x:c r="I38" s="34" t="str">
        <x:v>mixte</x:v>
      </x:c>
      <x:c r="J38" s="34" t="str">
        <x:v>Village de combat PSV / A.L.S.G. Lorraine Paintball</x:v>
      </x:c>
      <x:c r="K38" s="34" t="str"/>
      <x:c r="L38" s="36" t="str">
        <x:v>54550</x:v>
      </x:c>
      <x:c r="M38" s="34" t="str">
        <x:v>Bainville-sur-Madon</x:v>
      </x:c>
      <x:c r="N38" s="34" t="str">
        <x:v>54</x:v>
      </x:c>
      <x:c r="O38" s="34" t="str">
        <x:v>city</x:v>
      </x:c>
      <x:c r="P38" s="34" t="str">
        <x:v>Bainville-sur-Madon, 54550</x:v>
      </x:c>
      <x:c r="Q38" s="40" t="n">
        <x:v>30</x:v>
      </x:c>
      <x:c r="R38" s="40" t="n">
        <x:v>50</x:v>
      </x:c>
      <x:c r="S38" s="42" t="n">
        <x:v>100</x:v>
      </x:c>
      <x:c r="T38" s="34" t="str">
        <x:v>PA, assaut, DMR et sniper annoncés avec plafonds distincts ; location et soirée disponibles selon la source.</x:v>
      </x:c>
      <x:c r="U38" s="34" t="str">
        <x:v>https://www.airsoft-xp.com/parties/big-game-a-psv</x:v>
      </x:c>
      <x:c r="V38" s="34" t="str"/>
      <x:c r="W38" s="34" t="str">
        <x:v>Oui — source à recontrôler</x:v>
      </x:c>
      <x:c r="X38" s="34" t="str">
        <x:v>Brouillon admin</x:v>
      </x:c>
      <x:c r="Y38" s="34" t="str"/>
    </x:row>
    <x:row r="39" ht="45" customHeight="1">
      <x:c r="A39" s="34" t="str">
        <x:v>secondary-rossignol-2026-09-05</x:v>
      </x:c>
      <x:c r="B39" s="34" t="str">
        <x:v>Rossignol II — Opération Serpent</x:v>
      </x:c>
      <x:c r="C39" s="34" t="str">
        <x:v>Soft Warriors</x:v>
      </x:c>
      <x:c r="D39" s="34" t="str">
        <x:v>association_unverified</x:v>
      </x:c>
      <x:c r="E39" s="34" t="str">
        <x:v>secondary</x:v>
      </x:c>
      <x:c r="F39" s="38" t="n">
        <x:v>46270.25</x:v>
      </x:c>
      <x:c r="G39" s="38" t="n">
        <x:v>46271.5</x:v>
      </x:c>
      <x:c r="H39" s="34" t="str">
        <x:v>OP</x:v>
      </x:c>
      <x:c r="I39" s="34" t="str">
        <x:v>foret</x:v>
      </x:c>
      <x:c r="J39" s="34" t="str">
        <x:v>Terrain des Soft Warriors</x:v>
      </x:c>
      <x:c r="K39" s="34" t="str"/>
      <x:c r="L39" s="36" t="str">
        <x:v>87140</x:v>
      </x:c>
      <x:c r="M39" s="34" t="str">
        <x:v>Compreignac</x:v>
      </x:c>
      <x:c r="N39" s="34" t="str">
        <x:v>87</x:v>
      </x:c>
      <x:c r="O39" s="34" t="str">
        <x:v>city</x:v>
      </x:c>
      <x:c r="P39" s="34" t="str">
        <x:v>Compreignac, 87140</x:v>
      </x:c>
      <x:c r="Q39" s="40" t="n">
        <x:v>35</x:v>
      </x:c>
      <x:c r="R39" s="40" t="n">
        <x:v>35</x:v>
      </x:c>
      <x:c r="S39" s="42" t="str"/>
      <x:c r="T39" s="34" t="str">
        <x:v>Chrony à la bille de jeu, protections oculaires et billes bio ; camping et nocturne annoncés.</x:v>
      </x:c>
      <x:c r="U39" s="34" t="str">
        <x:v>https://www.airsoft-xp.com/parties/rossignol-2---op-serpent</x:v>
      </x:c>
      <x:c r="V39" s="34" t="str"/>
      <x:c r="W39" s="34" t="str">
        <x:v>Oui — source à recontrôler</x:v>
      </x:c>
      <x:c r="X39" s="34" t="str">
        <x:v>Brouillon admin</x:v>
      </x:c>
      <x:c r="Y39" s="34" t="str"/>
    </x:row>
    <x:row r="40" ht="45" customHeight="1">
      <x:c r="A40" s="34" t="str">
        <x:v>secondary-plata-o-plomo-2026-09-06</x:v>
      </x:c>
      <x:c r="B40" s="34" t="str">
        <x:v>Plata o plomo</x:v>
      </x:c>
      <x:c r="C40" s="34" t="str">
        <x:v>Var Airsoft Squad</x:v>
      </x:c>
      <x:c r="D40" s="34" t="str">
        <x:v>organizer_unverified</x:v>
      </x:c>
      <x:c r="E40" s="34" t="str">
        <x:v>secondary</x:v>
      </x:c>
      <x:c r="F40" s="38" t="n">
        <x:v>46271.25</x:v>
      </x:c>
      <x:c r="G40" s="38" t="n">
        <x:v>46271.583333333336</x:v>
      </x:c>
      <x:c r="H40" s="34" t="str">
        <x:v>scenarisee</x:v>
      </x:c>
      <x:c r="I40" s="34" t="str">
        <x:v>unknown</x:v>
      </x:c>
      <x:c r="J40" s="34" t="str">
        <x:v>Bormes-les-Mimosas</x:v>
      </x:c>
      <x:c r="K40" s="34" t="str"/>
      <x:c r="L40" s="36" t="str"/>
      <x:c r="M40" s="34" t="str">
        <x:v>Bormes-les-Mimosas</x:v>
      </x:c>
      <x:c r="N40" s="34" t="str">
        <x:v>83</x:v>
      </x:c>
      <x:c r="O40" s="34" t="str">
        <x:v>city</x:v>
      </x:c>
      <x:c r="P40" s="34" t="str">
        <x:v>Bormes-les-Mimosas, 83230</x:v>
      </x:c>
      <x:c r="Q40" s="40" t="n">
        <x:v>10</x:v>
      </x:c>
      <x:c r="R40" s="40" t="n">
        <x:v>10</x:v>
      </x:c>
      <x:c r="S40" s="42" t="n">
        <x:v>30</x:v>
      </x:c>
      <x:c r="T40" s="34" t="str"/>
      <x:c r="U40" s="34" t="str">
        <x:v>https://www.airsoft-xp.com/liste-des-parties</x:v>
      </x:c>
      <x:c r="V40" s="34" t="str"/>
      <x:c r="W40" s="34" t="str">
        <x:v>Oui — source à recontrôler</x:v>
      </x:c>
      <x:c r="X40" s="34" t="str">
        <x:v>Brouillon admin</x:v>
      </x:c>
      <x:c r="Y40" s="34" t="str"/>
    </x:row>
    <x:row r="41" ht="45" customHeight="1">
      <x:c r="A41" s="34" t="str">
        <x:v>secondary-afrika-sturm-2026-09-12</x:v>
      </x:c>
      <x:c r="B41" s="34" t="str">
        <x:v>Opération Afrika Sturm</x:v>
      </x:c>
      <x:c r="C41" s="34" t="str">
        <x:v>Airsoft Roanne</x:v>
      </x:c>
      <x:c r="D41" s="34" t="str">
        <x:v>organizer_unverified</x:v>
      </x:c>
      <x:c r="E41" s="34" t="str">
        <x:v>secondary</x:v>
      </x:c>
      <x:c r="F41" s="38" t="n">
        <x:v>46277.25</x:v>
      </x:c>
      <x:c r="G41" s="38" t="n">
        <x:v>46278.458333333336</x:v>
      </x:c>
      <x:c r="H41" s="34" t="str">
        <x:v>OP</x:v>
      </x:c>
      <x:c r="I41" s="34" t="str">
        <x:v>unknown</x:v>
      </x:c>
      <x:c r="J41" s="34" t="str">
        <x:v>Chazemais</x:v>
      </x:c>
      <x:c r="K41" s="34" t="str"/>
      <x:c r="L41" s="36" t="str"/>
      <x:c r="M41" s="34" t="str">
        <x:v>Chazemais</x:v>
      </x:c>
      <x:c r="N41" s="34" t="str">
        <x:v>03</x:v>
      </x:c>
      <x:c r="O41" s="34" t="str">
        <x:v>city</x:v>
      </x:c>
      <x:c r="P41" s="34" t="str">
        <x:v>Chazemais, 03370</x:v>
      </x:c>
      <x:c r="Q41" s="40" t="n">
        <x:v>98</x:v>
      </x:c>
      <x:c r="R41" s="40" t="n">
        <x:v>98</x:v>
      </x:c>
      <x:c r="S41" s="42" t="str"/>
      <x:c r="T41" s="34" t="str"/>
      <x:c r="U41" s="34" t="str">
        <x:v>https://www.airsoft-xp.com/liste-des-parties</x:v>
      </x:c>
      <x:c r="V41" s="34" t="str"/>
      <x:c r="W41" s="34" t="str">
        <x:v>Oui — source à recontrôler</x:v>
      </x:c>
      <x:c r="X41" s="34" t="str">
        <x:v>Brouillon admin</x:v>
      </x:c>
      <x:c r="Y41" s="34" t="str"/>
    </x:row>
    <x:row r="42" ht="45" customHeight="1">
      <x:c r="A42" s="34" t="str">
        <x:v>primary-black-sheep-noche-roja-2026-09-12</x:v>
      </x:c>
      <x:c r="B42" s="34" t="str">
        <x:v>La Noche Roja</x:v>
      </x:c>
      <x:c r="C42" s="34" t="str">
        <x:v>Black Sheep Airsoft</x:v>
      </x:c>
      <x:c r="D42" s="34" t="str">
        <x:v>association</x:v>
      </x:c>
      <x:c r="E42" s="34" t="str">
        <x:v>primary</x:v>
      </x:c>
      <x:c r="F42" s="38" t="n">
        <x:v>46277.25</x:v>
      </x:c>
      <x:c r="G42" s="38" t="n">
        <x:v>46278.416666666664</x:v>
      </x:c>
      <x:c r="H42" s="34" t="str">
        <x:v>OP_roleplay</x:v>
      </x:c>
      <x:c r="I42" s="34" t="str">
        <x:v>CQB</x:v>
      </x:c>
      <x:c r="J42" s="34" t="str">
        <x:v>Suris</x:v>
      </x:c>
      <x:c r="K42" s="34" t="str"/>
      <x:c r="L42" s="36" t="str">
        <x:v>16270</x:v>
      </x:c>
      <x:c r="M42" s="34" t="str">
        <x:v>Terres-de-Haute-Charente</x:v>
      </x:c>
      <x:c r="N42" s="34" t="str">
        <x:v>16</x:v>
      </x:c>
      <x:c r="O42" s="34" t="str">
        <x:v>city</x:v>
      </x:c>
      <x:c r="P42" s="34" t="str">
        <x:v>Suris, 16270 Terres-de-Haute-Charente</x:v>
      </x:c>
      <x:c r="Q42" s="40" t="n">
        <x:v>50</x:v>
      </x:c>
      <x:c r="R42" s="40" t="n">
        <x:v>50</x:v>
      </x:c>
      <x:c r="S42" s="42" t="str"/>
      <x:c r="T42" s="34" t="str">
        <x:v>OP RP avec foulard de touche et lumière rouge ; mineurs, pyro et alcool exclus selon la fiche source.</x:v>
      </x:c>
      <x:c r="U42" s="34" t="str">
        <x:v>https://www.helloasso.com/associations/black-sheep-airsoft/evenements/la-noche-roja-mini-op</x:v>
      </x:c>
      <x:c r="V42" s="34" t="str">
        <x:v>https://www.helloasso.com/associations/black-sheep-airsoft/evenements/la-noche-roja-mini-op</x:v>
      </x:c>
      <x:c r="W42" s="34" t="str">
        <x:v>Oui — source à recontrôler</x:v>
      </x:c>
      <x:c r="X42" s="34" t="str">
        <x:v>Brouillon admin</x:v>
      </x:c>
      <x:c r="Y42" s="34" t="str"/>
    </x:row>
    <x:row r="43" ht="45" customHeight="1">
      <x:c r="A43" s="34" t="str">
        <x:v>secondary-mad-territory-2026-09-12</x:v>
      </x:c>
      <x:c r="B43" s="34" t="str">
        <x:v>Mad Territory 2 — Le Dôme du Tonnerre</x:v>
      </x:c>
      <x:c r="C43" s="34" t="str">
        <x:v>The Howler Monkeys</x:v>
      </x:c>
      <x:c r="D43" s="34" t="str">
        <x:v>organizer_unverified</x:v>
      </x:c>
      <x:c r="E43" s="34" t="str">
        <x:v>secondary</x:v>
      </x:c>
      <x:c r="F43" s="38" t="n">
        <x:v>46277.270833333336</x:v>
      </x:c>
      <x:c r="G43" s="38" t="n">
        <x:v>46278.458333333336</x:v>
      </x:c>
      <x:c r="H43" s="34" t="str">
        <x:v>OP_roleplay</x:v>
      </x:c>
      <x:c r="I43" s="34" t="str">
        <x:v>foret</x:v>
      </x:c>
      <x:c r="J43" s="34" t="str">
        <x:v>Terrain de la THM</x:v>
      </x:c>
      <x:c r="K43" s="34" t="str">
        <x:v>41 Route de Gièvres</x:v>
      </x:c>
      <x:c r="L43" s="36" t="str">
        <x:v>41200</x:v>
      </x:c>
      <x:c r="M43" s="34" t="str">
        <x:v>Villefranche-sur-Cher</x:v>
      </x:c>
      <x:c r="N43" s="34" t="str">
        <x:v>41</x:v>
      </x:c>
      <x:c r="O43" s="34" t="str">
        <x:v>street</x:v>
      </x:c>
      <x:c r="P43" s="34" t="str">
        <x:v>41 Route de Gièvres, 41200 Villefranche-sur-Cher</x:v>
      </x:c>
      <x:c r="Q43" s="40" t="n">
        <x:v>50</x:v>
      </x:c>
      <x:c r="R43" s="40" t="n">
        <x:v>50</x:v>
      </x:c>
      <x:c r="S43" s="42" t="n">
        <x:v>40</x:v>
      </x:c>
      <x:c r="T43" s="34" t="str">
        <x:v>OP post-apocalyptique ; chrony à la 0,25 g et plafond de 1,20 J selon la fiche source.</x:v>
      </x:c>
      <x:c r="U43" s="34" t="str">
        <x:v>https://www.airsoft-xp.com/parties/mad-territory-2</x:v>
      </x:c>
      <x:c r="V43" s="34" t="str"/>
      <x:c r="W43" s="34" t="str">
        <x:v>Oui — source à recontrôler</x:v>
      </x:c>
      <x:c r="X43" s="34" t="str">
        <x:v>Brouillon admin</x:v>
      </x:c>
      <x:c r="Y43" s="34" t="str"/>
    </x:row>
    <x:row r="44" ht="45" customHeight="1">
      <x:c r="A44" s="34" t="str">
        <x:v>secondary-ligne-crete-2026-09-12</x:v>
      </x:c>
      <x:c r="B44" s="34" t="str">
        <x:v>Opération Ligne de Crête</x:v>
      </x:c>
      <x:c r="C44" s="34" t="str">
        <x:v>1r GIMA</x:v>
      </x:c>
      <x:c r="D44" s="34" t="str">
        <x:v>organizer_unverified</x:v>
      </x:c>
      <x:c r="E44" s="34" t="str">
        <x:v>secondary</x:v>
      </x:c>
      <x:c r="F44" s="38" t="n">
        <x:v>46277.458333333336</x:v>
      </x:c>
      <x:c r="G44" s="38" t="n">
        <x:v>46278.458333333336</x:v>
      </x:c>
      <x:c r="H44" s="34" t="str">
        <x:v>milsim_24h</x:v>
      </x:c>
      <x:c r="I44" s="34" t="str">
        <x:v>foret</x:v>
      </x:c>
      <x:c r="J44" s="34" t="str">
        <x:v>Sainte-Hélène</x:v>
      </x:c>
      <x:c r="K44" s="34" t="str"/>
      <x:c r="L44" s="36" t="str">
        <x:v>33480</x:v>
      </x:c>
      <x:c r="M44" s="34" t="str">
        <x:v>Sainte-Hélène</x:v>
      </x:c>
      <x:c r="N44" s="34" t="str">
        <x:v>33</x:v>
      </x:c>
      <x:c r="O44" s="34" t="str">
        <x:v>city</x:v>
      </x:c>
      <x:c r="P44" s="34" t="str">
        <x:v>Sainte-Hélène, 33480</x:v>
      </x:c>
      <x:c r="Q44" s="40" t="n">
        <x:v>25</x:v>
      </x:c>
      <x:c r="R44" s="40" t="n">
        <x:v>25</x:v>
      </x:c>
      <x:c r="S44" s="42" t="n">
        <x:v>40</x:v>
      </x:c>
      <x:c r="T44" s="34" t="str">
        <x:v>Milsim 24 h par équipes, autonomie et radio demandées ; règlement ACP V5 annoncé.</x:v>
      </x:c>
      <x:c r="U44" s="34" t="str">
        <x:v>https://www.airsoft-xp.com/parties/operation-ligne-de-crete</x:v>
      </x:c>
      <x:c r="V44" s="34" t="str"/>
      <x:c r="W44" s="34" t="str">
        <x:v>Oui — source à recontrôler</x:v>
      </x:c>
      <x:c r="X44" s="34" t="str">
        <x:v>Brouillon admin</x:v>
      </x:c>
      <x:c r="Y44" s="34" t="str"/>
    </x:row>
    <x:row r="45" ht="45" customHeight="1">
      <x:c r="A45" s="34" t="str">
        <x:v>secondary-incident-darah-2026-09-26</x:v>
      </x:c>
      <x:c r="B45" s="34" t="str">
        <x:v>L’incident de Darah-Sufar</x:v>
      </x:c>
      <x:c r="C45" s="34" t="str">
        <x:v>Hubmania</x:v>
      </x:c>
      <x:c r="D45" s="34" t="str">
        <x:v>organizer_unverified</x:v>
      </x:c>
      <x:c r="E45" s="34" t="str">
        <x:v>secondary</x:v>
      </x:c>
      <x:c r="F45" s="38" t="n">
        <x:v>46291.270833333336</x:v>
      </x:c>
      <x:c r="G45" s="38" t="n">
        <x:v>46292.583333333336</x:v>
      </x:c>
      <x:c r="H45" s="34" t="str">
        <x:v>OP</x:v>
      </x:c>
      <x:c r="I45" s="34" t="str">
        <x:v>unknown</x:v>
      </x:c>
      <x:c r="J45" s="34" t="str">
        <x:v>Challans</x:v>
      </x:c>
      <x:c r="K45" s="34" t="str"/>
      <x:c r="L45" s="36" t="str"/>
      <x:c r="M45" s="34" t="str">
        <x:v>Challans</x:v>
      </x:c>
      <x:c r="N45" s="34" t="str">
        <x:v>85</x:v>
      </x:c>
      <x:c r="O45" s="34" t="str">
        <x:v>city</x:v>
      </x:c>
      <x:c r="P45" s="34" t="str">
        <x:v>Challans, 85300</x:v>
      </x:c>
      <x:c r="Q45" s="40" t="n">
        <x:v>60</x:v>
      </x:c>
      <x:c r="R45" s="40" t="n">
        <x:v>60</x:v>
      </x:c>
      <x:c r="S45" s="42" t="str"/>
      <x:c r="T45" s="34" t="str"/>
      <x:c r="U45" s="34" t="str">
        <x:v>https://www.airsoft-xp.com/liste-des-parties</x:v>
      </x:c>
      <x:c r="V45" s="34" t="str"/>
      <x:c r="W45" s="34" t="str">
        <x:v>Oui — source à recontrôler</x:v>
      </x:c>
      <x:c r="X45" s="34" t="str">
        <x:v>Brouillon admin</x:v>
      </x:c>
      <x:c r="Y45" s="34" t="str"/>
    </x:row>
    <x:row r="46" ht="45" customHeight="1">
      <x:c r="A46" s="34" t="str">
        <x:v>secondary-russian-heritage-2026-09-26</x:v>
      </x:c>
      <x:c r="B46" s="34" t="str">
        <x:v>Russian Furious Heritage</x:v>
      </x:c>
      <x:c r="C46" s="34" t="str">
        <x:v>Commando Casimir</x:v>
      </x:c>
      <x:c r="D46" s="34" t="str">
        <x:v>organizer_unverified</x:v>
      </x:c>
      <x:c r="E46" s="34" t="str">
        <x:v>secondary</x:v>
      </x:c>
      <x:c r="F46" s="38" t="n">
        <x:v>46291.270833333336</x:v>
      </x:c>
      <x:c r="G46" s="38" t="n">
        <x:v>46292.520833333336</x:v>
      </x:c>
      <x:c r="H46" s="34" t="str">
        <x:v>OP</x:v>
      </x:c>
      <x:c r="I46" s="34" t="str">
        <x:v>unknown</x:v>
      </x:c>
      <x:c r="J46" s="34" t="str">
        <x:v>Signes</x:v>
      </x:c>
      <x:c r="K46" s="34" t="str"/>
      <x:c r="L46" s="36" t="str"/>
      <x:c r="M46" s="34" t="str">
        <x:v>Signes</x:v>
      </x:c>
      <x:c r="N46" s="34" t="str">
        <x:v>83</x:v>
      </x:c>
      <x:c r="O46" s="34" t="str">
        <x:v>city</x:v>
      </x:c>
      <x:c r="P46" s="34" t="str">
        <x:v>Signes, 83870</x:v>
      </x:c>
      <x:c r="Q46" s="40" t="n">
        <x:v>50</x:v>
      </x:c>
      <x:c r="R46" s="40" t="n">
        <x:v>50</x:v>
      </x:c>
      <x:c r="S46" s="42" t="str"/>
      <x:c r="T46" s="34" t="str"/>
      <x:c r="U46" s="34" t="str">
        <x:v>https://www.airsoft-xp.com/liste-des-parties</x:v>
      </x:c>
      <x:c r="V46" s="34" t="str"/>
      <x:c r="W46" s="34" t="str">
        <x:v>Oui — source à recontrôler</x:v>
      </x:c>
      <x:c r="X46" s="34" t="str">
        <x:v>Brouillon admin</x:v>
      </x:c>
      <x:c r="Y46" s="34" t="str"/>
    </x:row>
    <x:row r="47" ht="45" customHeight="1">
      <x:c r="A47" s="34" t="str">
        <x:v>secondary-iron-gates-2026-10-30</x:v>
      </x:c>
      <x:c r="B47" s="34" t="str">
        <x:v>OP Iron Gates — Campagne ARES</x:v>
      </x:c>
      <x:c r="C47" s="34" t="str">
        <x:v>Airsoft Aquila Corp</x:v>
      </x:c>
      <x:c r="D47" s="34" t="str">
        <x:v>organizer_unverified</x:v>
      </x:c>
      <x:c r="E47" s="34" t="str">
        <x:v>secondary</x:v>
      </x:c>
      <x:c r="F47" s="38" t="n">
        <x:v>46325.708333333336</x:v>
      </x:c>
      <x:c r="G47" s="38" t="n">
        <x:v>46327.583333333336</x:v>
      </x:c>
      <x:c r="H47" s="34" t="str">
        <x:v>milsim_longue_duree</x:v>
      </x:c>
      <x:c r="I47" s="34" t="str">
        <x:v>foret</x:v>
      </x:c>
      <x:c r="J47" s="34" t="str">
        <x:v>Zone de Draguignan — lieu précis communiqué après inscription</x:v>
      </x:c>
      <x:c r="K47" s="34" t="str"/>
      <x:c r="L47" s="36" t="str"/>
      <x:c r="M47" s="34" t="str">
        <x:v>Draguignan</x:v>
      </x:c>
      <x:c r="N47" s="34" t="str">
        <x:v>83</x:v>
      </x:c>
      <x:c r="O47" s="34" t="str">
        <x:v>city</x:v>
      </x:c>
      <x:c r="P47" s="34" t="str">
        <x:v>Draguignan, 83300</x:v>
      </x:c>
      <x:c r="Q47" s="40" t="n">
        <x:v>50</x:v>
      </x:c>
      <x:c r="R47" s="40" t="n">
        <x:v>75</x:v>
      </x:c>
      <x:c r="S47" s="42" t="n">
        <x:v>200</x:v>
      </x:c>
      <x:c r="T47" s="34" t="str">
        <x:v>Milsim 48 à 72 h ; billes bio, protections et plafond annoncé de 2 J ; lieu précis réservé aux inscrits.</x:v>
      </x:c>
      <x:c r="U47" s="34" t="str">
        <x:v>https://www.airsoft-xp.com/parties/op-iron-gates</x:v>
      </x:c>
      <x:c r="V47" s="34" t="str"/>
      <x:c r="W47" s="34" t="str">
        <x:v>Oui — source à recontrôler</x:v>
      </x:c>
      <x:c r="X47" s="34" t="str">
        <x:v>Brouillon admin</x:v>
      </x:c>
      <x:c r="Y47" s="34" t="str"/>
    </x:row>
    <x:row r="48" ht="45" customHeight="1">
      <x:c r="A48" s="34" t="str">
        <x:v>primary-7-nains-2026-08-02</x:v>
      </x:c>
      <x:c r="B48" s="34" t="str">
        <x:v>Partie du 2 août 2026</x:v>
      </x:c>
      <x:c r="C48" s="34" t="str">
        <x:v>Les 7 Nains font du Airsoft</x:v>
      </x:c>
      <x:c r="D48" s="34" t="str">
        <x:v>association</x:v>
      </x:c>
      <x:c r="E48" s="34" t="str">
        <x:v>primary</x:v>
      </x:c>
      <x:c r="F48" s="38" t="n">
        <x:v>46236.21875</x:v>
      </x:c>
      <x:c r="G48" s="38" t="n">
        <x:v>46236.416666666664</x:v>
      </x:c>
      <x:c r="H48" s="34" t="str">
        <x:v>dominicale</x:v>
      </x:c>
      <x:c r="I48" s="34" t="str">
        <x:v>foret_bunkers</x:v>
      </x:c>
      <x:c r="J48" s="34" t="str">
        <x:v>Terrain officiel des 7 Nains — rendez-vous parking de l’église</x:v>
      </x:c>
      <x:c r="K48" s="34" t="str">
        <x:v>35 Rue du 1er Septembre</x:v>
      </x:c>
      <x:c r="L48" s="36" t="str">
        <x:v>68640</x:v>
      </x:c>
      <x:c r="M48" s="34" t="str">
        <x:v>Muespach</x:v>
      </x:c>
      <x:c r="N48" s="34" t="str">
        <x:v>68</x:v>
      </x:c>
      <x:c r="O48" s="34" t="str">
        <x:v>street</x:v>
      </x:c>
      <x:c r="P48" s="34" t="str">
        <x:v>35 Rue du 1er Septembre, 68640 Muespach</x:v>
      </x:c>
      <x:c r="Q48" s="40" t="n">
        <x:v>5</x:v>
      </x:c>
      <x:c r="R48" s="40" t="n">
        <x:v>15</x:v>
      </x:c>
      <x:c r="S48" s="42" t="str"/>
      <x:c r="T48" s="34" t="str">
        <x:v>Majeurs, responsabilité civile et billes biodégradables obligatoires ; vérification du règlement de l’association avant publication.</x:v>
      </x:c>
      <x:c r="U48" s="34" t="str">
        <x:v>https://www.helloasso.com/associations/les-7-nains-font-du-airsoft/evenements/partie-du-02-08-2026</x:v>
      </x:c>
      <x:c r="V48" s="34" t="str">
        <x:v>https://www.helloasso.com/associations/les-7-nains-font-du-airsoft/evenements/partie-du-02-08-2026</x:v>
      </x:c>
      <x:c r="W48" s="34" t="str">
        <x:v>Oui — source à recontrôler</x:v>
      </x:c>
      <x:c r="X48" s="34" t="str">
        <x:v>Brouillon admin</x:v>
      </x:c>
      <x:c r="Y48" s="34" t="str"/>
    </x:row>
    <x:row r="49" ht="45" customHeight="1">
      <x:c r="A49" s="35" t="str">
        <x:v>primary-family-airsoft-doree-2026-09-12</x:v>
      </x:c>
      <x:c r="B49" s="35" t="str">
        <x:v>La Journée Dorée</x:v>
      </x:c>
      <x:c r="C49" s="35" t="str">
        <x:v>Family Airsoft Team</x:v>
      </x:c>
      <x:c r="D49" s="35" t="str">
        <x:v>association</x:v>
      </x:c>
      <x:c r="E49" s="35" t="str">
        <x:v>primary</x:v>
      </x:c>
      <x:c r="F49" s="39" t="n">
        <x:v>46277.291666666664</x:v>
      </x:c>
      <x:c r="G49" s="39" t="n">
        <x:v>46277.583333333336</x:v>
      </x:c>
      <x:c r="H49" s="35" t="str">
        <x:v>dominicale_caritative</x:v>
      </x:c>
      <x:c r="I49" s="35" t="str">
        <x:v>unknown</x:v>
      </x:c>
      <x:c r="J49" s="35" t="str">
        <x:v>Family Airsoft Team — Argancy</x:v>
      </x:c>
      <x:c r="K49" s="35" t="str"/>
      <x:c r="L49" s="37" t="str">
        <x:v>57640</x:v>
      </x:c>
      <x:c r="M49" s="35" t="str">
        <x:v>Argancy</x:v>
      </x:c>
      <x:c r="N49" s="35" t="str">
        <x:v>57</x:v>
      </x:c>
      <x:c r="O49" s="35" t="str">
        <x:v>city</x:v>
      </x:c>
      <x:c r="P49" s="35" t="str">
        <x:v>Argancy, 57640</x:v>
      </x:c>
      <x:c r="Q49" s="41" t="n">
        <x:v>20</x:v>
      </x:c>
      <x:c r="R49" s="41" t="n">
        <x:v>20</x:v>
      </x:c>
      <x:c r="S49" s="43" t="str"/>
      <x:c r="T49" s="35" t="str">
        <x:v>Journée caritative ; plafonds annoncés : assault 1,2 J, batteuse 1,3 J, DMR 1,6 J, sniper 2 J ; majeurs uniquement et grenades hors Taginn autorisées.</x:v>
      </x:c>
      <x:c r="U49" s="35" t="str">
        <x:v>https://www.helloasso.com/associations/family-airsoft-team/evenements/la-journee-doree</x:v>
      </x:c>
      <x:c r="V49" s="35" t="str">
        <x:v>https://www.helloasso.com/associations/family-airsoft-team/evenements/la-journee-doree</x:v>
      </x:c>
      <x:c r="W49" s="35" t="str">
        <x:v>Oui — source à recontrôler</x:v>
      </x:c>
      <x:c r="X49" s="35" t="str">
        <x:v>Brouillon admin</x:v>
      </x:c>
      <x:c r="Y49" s="35" t="str"/>
    </x:row>
  </x:sheetData>
  <x:mergeCells>
    <x:mergeCell ref="A1:Y1"/>
    <x:mergeCell ref="A2:Y2"/>
  </x:mergeCells>
  <x:conditionalFormatting sqref="E4:E49">
    <x:cfRule type="containsText" dxfId="0" priority="1" operator="containsText" text="primary"/>
    <x:cfRule type="containsText" dxfId="1" priority="2" operator="containsText" text="secondary"/>
  </x:conditionalFormatting>
  <x:conditionalFormatting sqref="O4:O49">
    <x:cfRule type="containsText" dxfId="2" priority="3" operator="containsText" text="undisclosed"/>
  </x:conditionalFormatting>
  <x:conditionalFormatting sqref="X4:X49">
    <x:cfRule type="containsText" dxfId="3" priority="4" operator="containsText" text="À revoir"/>
  </x:conditionalFormatting>
  <x:dataValidations count="1">
    <x:dataValidation type="list" sqref="X4:X49">
      <x:formula1>"Brouillon admin,À revoir,Prêt à publier,À ignorer"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f0068d7ada45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65" hidden="0" customWidth="1"/>
    <x:col min="4" max="4" width="4" hidden="0" customWidth="1"/>
  </x:cols>
  <x:sheetData>
    <x:row r="1" ht="30" customHeight="1">
      <x:c r="A1" s="30" t="str">
        <x:v>Contrôles d’import et de précision</x:v>
      </x:c>
      <x:c r="B1" s="30"/>
      <x:c r="C1" s="30"/>
      <x:c r="D1" s="30"/>
    </x:row>
    <x:row r="3">
      <x:c r="A3" s="44" t="str">
        <x:v>Contrôle</x:v>
      </x:c>
      <x:c r="B3" s="44" t="str">
        <x:v>Valeur</x:v>
      </x:c>
      <x:c r="C3" s="44" t="str">
        <x:v>Interprétation</x:v>
      </x:c>
    </x:row>
    <x:row r="4" ht="30" customHeight="1">
      <x:c r="A4" s="48" t="str">
        <x:v>Total d’événements</x:v>
      </x:c>
      <x:c r="B4" s="51" t="n">
        <x:f>COUNTA('Événements'!$A$4:$A$49)</x:f>
        <x:v>46</x:v>
      </x:c>
      <x:c r="C4" s="24" t="str">
        <x:v>Doit correspondre au nombre de lignes du JSON.</x:v>
      </x:c>
    </x:row>
    <x:row r="5" ht="30" customHeight="1">
      <x:c r="A5" s="48" t="str">
        <x:v>Sources primary</x:v>
      </x:c>
      <x:c r="B5" s="51" t="n">
        <x:f>COUNTIF('Événements'!$E$4:$E$49,"primary")</x:f>
        <x:v>15</x:v>
      </x:c>
      <x:c r="C5" s="24" t="str">
        <x:v>Source associative/officielle : recontrôle requis, jamais auto-publiée.</x:v>
      </x:c>
    </x:row>
    <x:row r="6" ht="30" customHeight="1">
      <x:c r="A6" s="48" t="str">
        <x:v>Sources secondary</x:v>
      </x:c>
      <x:c r="B6" s="51" t="n">
        <x:f>COUNTIF('Événements'!$E$4:$E$49,"secondary")</x:f>
        <x:v>31</x:v>
      </x:c>
      <x:c r="C6" s="24" t="str">
        <x:v>Agenda de découverte : validation renforcée avant publication.</x:v>
      </x:c>
    </x:row>
    <x:row r="7" ht="30" customHeight="1">
      <x:c r="A7" s="48" t="str">
        <x:v>Pins précis potentiels</x:v>
      </x:c>
      <x:c r="B7" s="51" t="n">
        <x:f>COUNTIF('Événements'!$O$4:$O$49,"street")+COUNTIF('Événements'!$O$4:$O$49,"locality")</x:f>
        <x:v>14</x:v>
      </x:c>
      <x:c r="C7" s="24" t="str">
        <x:v>Précis seulement après géocodage IGN concordant.</x:v>
      </x:c>
    </x:row>
    <x:row r="8" ht="30" customHeight="1">
      <x:c r="A8" s="48" t="str">
        <x:v>Pins ville approximatifs</x:v>
      </x:c>
      <x:c r="B8" s="51" t="n">
        <x:f>COUNTIF('Événements'!$O$4:$O$49,"city")</x:f>
        <x:v>31</x:v>
      </x:c>
      <x:c r="C8" s="24" t="str">
        <x:v>Toujours afficher le badge ‘position approximative’.</x:v>
      </x:c>
    </x:row>
    <x:row r="9" ht="30" customHeight="1">
      <x:c r="A9" s="48" t="str">
        <x:v>Lieux non communiqués</x:v>
      </x:c>
      <x:c r="B9" s="51" t="n">
        <x:f>COUNTIF('Événements'!$O$4:$O$49,"undisclosed")</x:f>
        <x:v>1</x:v>
      </x:c>
      <x:c r="C9" s="24" t="str">
        <x:v>Aucun point public pour ces fiches.</x:v>
      </x:c>
    </x:row>
    <x:row r="10" ht="30" customHeight="1">
      <x:c r="A10" s="48" t="str">
        <x:v>Fiches sans URL source</x:v>
      </x:c>
      <x:c r="B10" s="51" t="n">
        <x:f>COUNTBLANK('Événements'!$U$4:$U$49)</x:f>
        <x:v>0</x:v>
      </x:c>
      <x:c r="C10" s="24" t="str">
        <x:v>Doit rester à 0 ; sinon la fiche est incomplète.</x:v>
      </x:c>
    </x:row>
    <x:row r="11" ht="30" customHeight="1">
      <x:c r="A11" s="48" t="str">
        <x:v>Fiches sans requête IGN</x:v>
      </x:c>
      <x:c r="B11" s="51" t="n">
        <x:f>COUNTBLANK('Événements'!$P$4:$P$49)</x:f>
        <x:v>1</x:v>
      </x:c>
      <x:c r="C11" s="24" t="str">
        <x:v>Normal uniquement pour un lieu volontairement non communiqué ; ne jamais le géocoder.</x:v>
      </x:c>
    </x:row>
    <x:row r="12" ht="30" customHeight="1">
      <x:c r="A12" s="48" t="str">
        <x:v>Fiches en brouillon admin</x:v>
      </x:c>
      <x:c r="B12" s="51" t="n">
        <x:f>COUNTIF('Événements'!$X$4:$X$49,"Brouillon admin")</x:f>
        <x:v>46</x:v>
      </x:c>
      <x:c r="C12" s="24" t="str">
        <x:v>Doit initialement correspondre au total d’événements.</x:v>
      </x:c>
    </x:row>
    <x:row r="15" ht="36" customHeight="1">
      <x:c r="A15" s="55" t="str">
        <x:v>Commande de sécurité : l’import doit être lancé en --dry-run, lier un owner_user_id interne, puis créer des brouillons seulement. Les 200 fixtures servent uniquement aux tests locaux.</x:v>
      </x:c>
      <x:c r="B15" s="55"/>
      <x:c r="C15" s="55"/>
      <x:c r="D15" s="55"/>
    </x:row>
  </x:sheetData>
  <x:mergeCells>
    <x:mergeCell ref="A1:D1"/>
    <x:mergeCell ref="A15:D15"/>
  </x:mergeCells>
  <x:pageMargins left="0.7" right="0.7" top="0.75" bottom="0.75" header="0.3" footer="0.3"/>
</x:worksheet>
</file>